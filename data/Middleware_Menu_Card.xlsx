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tgroupcloud-my.sharepoint.com/personal/isaac_2_gera_bt_com/Documents/Desktop/"/>
    </mc:Choice>
  </mc:AlternateContent>
  <xr:revisionPtr revIDLastSave="4" documentId="8_{B92849B3-822E-4AF8-8AAE-A86C9C62CF7F}" xr6:coauthVersionLast="47" xr6:coauthVersionMax="47" xr10:uidLastSave="{5E8B1E43-C416-41DA-B257-FD28CFF59623}"/>
  <bookViews>
    <workbookView xWindow="-120" yWindow="-120" windowWidth="20730" windowHeight="11040" tabRatio="659" activeTab="3" xr2:uid="{00000000-000D-0000-FFFF-FFFF00000000}"/>
  </bookViews>
  <sheets>
    <sheet name="Version" sheetId="28" r:id="rId1"/>
    <sheet name="Variables" sheetId="29" r:id="rId2"/>
    <sheet name="MQ" sheetId="27" r:id="rId3"/>
    <sheet name="Weblogic" sheetId="32" r:id="rId4"/>
    <sheet name="CFT" sheetId="33" r:id="rId5"/>
    <sheet name="WildFly" sheetId="34" r:id="rId6"/>
  </sheets>
  <definedNames>
    <definedName name="_xlnm._FilterDatabase" localSheetId="2" hidden="1">MQ!$A$2:$S$12</definedName>
    <definedName name="_xlnm._FilterDatabase" localSheetId="3" hidden="1">Weblogic!$A$1:$P$15</definedName>
    <definedName name="B2B_ASM1718" localSheetId="5">#REF!</definedName>
    <definedName name="B2B_ASM1718">#REF!</definedName>
    <definedName name="B2B_DevOpsLots" localSheetId="5">#REF!</definedName>
    <definedName name="B2B_DevOpsLo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2" l="1"/>
  <c r="P4" i="27"/>
  <c r="P5" i="27"/>
  <c r="P7" i="27"/>
  <c r="P8" i="27"/>
  <c r="P9" i="27"/>
  <c r="P10" i="27"/>
  <c r="P11" i="27"/>
  <c r="N4" i="27"/>
  <c r="N5" i="27"/>
  <c r="N7" i="27"/>
  <c r="N8" i="27"/>
  <c r="N9" i="27"/>
  <c r="N10" i="27"/>
  <c r="N11" i="27"/>
  <c r="P3" i="27"/>
  <c r="N3" i="27"/>
  <c r="M7" i="34" l="1"/>
  <c r="N7" i="34" s="1"/>
  <c r="O7" i="34" s="1"/>
  <c r="K7" i="34"/>
  <c r="J7" i="34"/>
  <c r="I7" i="34"/>
  <c r="I6" i="34"/>
  <c r="J6" i="34" s="1"/>
  <c r="I5" i="34"/>
  <c r="J5" i="34" s="1"/>
  <c r="I4" i="34"/>
  <c r="J4" i="34" s="1"/>
  <c r="J3" i="34"/>
  <c r="M3" i="34" s="1"/>
  <c r="I3" i="34"/>
  <c r="J2" i="34"/>
  <c r="K2" i="34" s="1"/>
  <c r="I2" i="34"/>
  <c r="M2" i="34" s="1"/>
  <c r="L2" i="32"/>
  <c r="I4" i="32"/>
  <c r="J4" i="32" s="1"/>
  <c r="I3" i="32"/>
  <c r="J3" i="32" s="1"/>
  <c r="I2" i="32"/>
  <c r="I14" i="32"/>
  <c r="J14" i="32" s="1"/>
  <c r="I13" i="32"/>
  <c r="J13" i="32" s="1"/>
  <c r="I12" i="32"/>
  <c r="J12" i="32" s="1"/>
  <c r="I11" i="32"/>
  <c r="J11" i="32" s="1"/>
  <c r="I10" i="32"/>
  <c r="J10" i="32" s="1"/>
  <c r="I9" i="32"/>
  <c r="J9" i="32" s="1"/>
  <c r="J8" i="32"/>
  <c r="I8" i="32"/>
  <c r="I7" i="32"/>
  <c r="J7" i="32" s="1"/>
  <c r="I6" i="32"/>
  <c r="J6" i="32" s="1"/>
  <c r="I5" i="32"/>
  <c r="J11" i="33"/>
  <c r="I11" i="33"/>
  <c r="I10" i="33"/>
  <c r="J10" i="33" s="1"/>
  <c r="I9" i="33"/>
  <c r="J9" i="33" s="1"/>
  <c r="I8" i="33"/>
  <c r="J8" i="33" s="1"/>
  <c r="I7" i="33"/>
  <c r="J7" i="33" s="1"/>
  <c r="I6" i="33"/>
  <c r="J6" i="33" s="1"/>
  <c r="I5" i="33"/>
  <c r="J5" i="33" s="1"/>
  <c r="I4" i="33"/>
  <c r="J4" i="33" s="1"/>
  <c r="I3" i="33"/>
  <c r="J3" i="33" s="1"/>
  <c r="I2" i="33"/>
  <c r="J2" i="33" s="1"/>
  <c r="M5" i="34" l="1"/>
  <c r="K5" i="34"/>
  <c r="N3" i="34"/>
  <c r="O3" i="34" s="1"/>
  <c r="M6" i="34"/>
  <c r="K6" i="34"/>
  <c r="N2" i="34"/>
  <c r="O2" i="34" s="1"/>
  <c r="M4" i="34"/>
  <c r="K4" i="34"/>
  <c r="K3" i="34"/>
  <c r="M2" i="32"/>
  <c r="N2" i="32" s="1"/>
  <c r="O2" i="32" s="1"/>
  <c r="K3" i="32"/>
  <c r="K4" i="32"/>
  <c r="J2" i="32"/>
  <c r="K2" i="32" s="1"/>
  <c r="K12" i="32"/>
  <c r="K13" i="32"/>
  <c r="K14" i="32"/>
  <c r="K11" i="32"/>
  <c r="K9" i="32"/>
  <c r="K6" i="32"/>
  <c r="K10" i="32"/>
  <c r="K7" i="32"/>
  <c r="K8" i="32"/>
  <c r="K5" i="32"/>
  <c r="K3" i="33"/>
  <c r="K7" i="33"/>
  <c r="K9" i="33"/>
  <c r="K4" i="33"/>
  <c r="K8" i="33"/>
  <c r="K2" i="33"/>
  <c r="K5" i="33"/>
  <c r="K11" i="33"/>
  <c r="K10" i="33"/>
  <c r="K6" i="33"/>
  <c r="N4" i="34" l="1"/>
  <c r="O4" i="34" s="1"/>
  <c r="N5" i="34"/>
  <c r="O5" i="34" s="1"/>
  <c r="N6" i="34"/>
  <c r="O6" i="34" s="1"/>
  <c r="L11" i="27" l="1"/>
  <c r="M11" i="27" s="1"/>
  <c r="L10" i="27"/>
  <c r="M10" i="27" s="1"/>
  <c r="L9" i="27"/>
  <c r="M9" i="27" s="1"/>
  <c r="L8" i="27"/>
  <c r="M8" i="27" s="1"/>
  <c r="L7" i="27"/>
  <c r="M7" i="27" s="1"/>
  <c r="L6" i="27"/>
  <c r="M6" i="27" s="1"/>
  <c r="L5" i="27"/>
  <c r="M5" i="27" s="1"/>
  <c r="L4" i="27"/>
  <c r="M4" i="27" s="1"/>
  <c r="L3" i="27"/>
  <c r="M3" i="27" s="1"/>
  <c r="C4" i="29"/>
  <c r="C11" i="29" s="1"/>
  <c r="C13" i="29" s="1"/>
  <c r="C14" i="29" s="1"/>
  <c r="C12" i="29"/>
  <c r="P6" i="27" l="1"/>
  <c r="N6" i="27"/>
  <c r="O10" i="27"/>
  <c r="L4" i="32"/>
  <c r="M4" i="32" s="1"/>
  <c r="N4" i="32" s="1"/>
  <c r="O4" i="32" s="1"/>
  <c r="L3" i="32"/>
  <c r="M3" i="32" s="1"/>
  <c r="N3" i="32" s="1"/>
  <c r="O3" i="32" s="1"/>
  <c r="L6" i="32"/>
  <c r="M6" i="32" s="1"/>
  <c r="N6" i="32" s="1"/>
  <c r="O6" i="32" s="1"/>
  <c r="L2" i="33"/>
  <c r="M2" i="33" s="1"/>
  <c r="N2" i="33" s="1"/>
  <c r="O2" i="33" s="1"/>
  <c r="L7" i="32"/>
  <c r="M7" i="32" s="1"/>
  <c r="N7" i="32" s="1"/>
  <c r="O7" i="32" s="1"/>
  <c r="L9" i="32"/>
  <c r="M9" i="32" s="1"/>
  <c r="N9" i="32" s="1"/>
  <c r="O9" i="32" s="1"/>
  <c r="L10" i="32"/>
  <c r="M10" i="32" s="1"/>
  <c r="L11" i="32"/>
  <c r="M11" i="32" s="1"/>
  <c r="N11" i="32" s="1"/>
  <c r="L13" i="32"/>
  <c r="M13" i="32" s="1"/>
  <c r="L14" i="32"/>
  <c r="M14" i="32" s="1"/>
  <c r="L5" i="32"/>
  <c r="M5" i="32" s="1"/>
  <c r="L12" i="32"/>
  <c r="M12" i="32" s="1"/>
  <c r="L8" i="32"/>
  <c r="M8" i="32" s="1"/>
  <c r="N8" i="32" s="1"/>
  <c r="O8" i="32" s="1"/>
  <c r="L10" i="33"/>
  <c r="M10" i="33" s="1"/>
  <c r="N10" i="33" s="1"/>
  <c r="O10" i="33" s="1"/>
  <c r="L3" i="33"/>
  <c r="M3" i="33" s="1"/>
  <c r="N3" i="33" s="1"/>
  <c r="O3" i="33" s="1"/>
  <c r="L4" i="33"/>
  <c r="M4" i="33" s="1"/>
  <c r="N4" i="33" s="1"/>
  <c r="O4" i="33" s="1"/>
  <c r="L5" i="33"/>
  <c r="M5" i="33" s="1"/>
  <c r="N5" i="33" s="1"/>
  <c r="O5" i="33" s="1"/>
  <c r="L6" i="33"/>
  <c r="M6" i="33" s="1"/>
  <c r="N6" i="33" s="1"/>
  <c r="O6" i="33" s="1"/>
  <c r="L8" i="33"/>
  <c r="M8" i="33" s="1"/>
  <c r="N8" i="33" s="1"/>
  <c r="O8" i="33" s="1"/>
  <c r="L11" i="33"/>
  <c r="M11" i="33" s="1"/>
  <c r="N11" i="33" s="1"/>
  <c r="O11" i="33" s="1"/>
  <c r="L7" i="33"/>
  <c r="M7" i="33" s="1"/>
  <c r="N7" i="33" s="1"/>
  <c r="O7" i="33" s="1"/>
  <c r="L9" i="33"/>
  <c r="M9" i="33" s="1"/>
  <c r="N9" i="33" s="1"/>
  <c r="O9" i="33" s="1"/>
  <c r="O9" i="27"/>
  <c r="O8" i="27"/>
  <c r="O3" i="27"/>
  <c r="O7" i="27"/>
  <c r="O6" i="27"/>
  <c r="O4" i="27"/>
  <c r="O11" i="27"/>
  <c r="O5" i="27"/>
  <c r="Q3" i="27"/>
  <c r="N5" i="32" l="1"/>
  <c r="O5" i="32" s="1"/>
  <c r="N12" i="32"/>
  <c r="O12" i="32" s="1"/>
  <c r="N14" i="32"/>
  <c r="O14" i="32" s="1"/>
  <c r="N13" i="32"/>
  <c r="O13" i="32" s="1"/>
  <c r="N10" i="32"/>
  <c r="O10" i="32" s="1"/>
  <c r="R3" i="27"/>
  <c r="Q11" i="27"/>
  <c r="R11" i="27" s="1"/>
  <c r="Q10" i="27" s="1"/>
  <c r="R10" i="27" s="1"/>
  <c r="Q9" i="27"/>
  <c r="R9" i="27" s="1"/>
  <c r="Q8" i="27" s="1"/>
  <c r="Q7" i="27" s="1"/>
  <c r="R7" i="27" s="1"/>
  <c r="Q6" i="27" s="1"/>
  <c r="R6" i="27" s="1"/>
  <c r="Q4" i="27"/>
  <c r="R4" i="27" s="1"/>
  <c r="Q5" i="27"/>
  <c r="R5" i="27" s="1"/>
  <c r="R8" i="27" l="1"/>
</calcChain>
</file>

<file path=xl/sharedStrings.xml><?xml version="1.0" encoding="utf-8"?>
<sst xmlns="http://schemas.openxmlformats.org/spreadsheetml/2006/main" count="319" uniqueCount="155">
  <si>
    <t>Version</t>
  </si>
  <si>
    <t>Author</t>
  </si>
  <si>
    <t>Notes</t>
  </si>
  <si>
    <t>Date</t>
  </si>
  <si>
    <t>v0.1</t>
  </si>
  <si>
    <t>Gavin Raby</t>
  </si>
  <si>
    <t>First Draft</t>
  </si>
  <si>
    <t>v0.2</t>
  </si>
  <si>
    <t>Updated following call with TCS leads</t>
  </si>
  <si>
    <t>v0.3</t>
  </si>
  <si>
    <t>Srini</t>
  </si>
  <si>
    <t>Updated the blended USP</t>
  </si>
  <si>
    <t>v0.4</t>
  </si>
  <si>
    <t>Gav Raby</t>
  </si>
  <si>
    <t>minor wording and format changes</t>
  </si>
  <si>
    <t>v0.5</t>
  </si>
  <si>
    <t>Added weblogic menu card</t>
  </si>
  <si>
    <t>v0.6</t>
  </si>
  <si>
    <t>Added BESL menu card</t>
  </si>
  <si>
    <t>v0.7</t>
  </si>
  <si>
    <t>Added CFT menu card</t>
  </si>
  <si>
    <t>V1</t>
  </si>
  <si>
    <t>Amrutha</t>
  </si>
  <si>
    <t>Updated the Menu card to reflect the Agreement Year 2</t>
  </si>
  <si>
    <t>V2</t>
  </si>
  <si>
    <t>Updated the Menu card to reflect the changes in Middleware</t>
  </si>
  <si>
    <t>V3</t>
  </si>
  <si>
    <t>Updated the Menu card to reflect the E2E test support efforts</t>
  </si>
  <si>
    <t>V4</t>
  </si>
  <si>
    <t>Updated the Menu card to reflect the E2E test support efforts across all the T-Shirt sizes</t>
  </si>
  <si>
    <t>V5</t>
  </si>
  <si>
    <t>Mani</t>
  </si>
  <si>
    <t>Updated the Menu card as per FY27 contract</t>
  </si>
  <si>
    <t>Unit</t>
  </si>
  <si>
    <t xml:space="preserve">Duration </t>
  </si>
  <si>
    <t>Cost (Year 1)</t>
  </si>
  <si>
    <t>People Day</t>
  </si>
  <si>
    <t>1 calendar day</t>
  </si>
  <si>
    <t>ATOM</t>
  </si>
  <si>
    <t>8 hours</t>
  </si>
  <si>
    <t>Story Point</t>
  </si>
  <si>
    <t>4 hours</t>
  </si>
  <si>
    <t>UTP</t>
  </si>
  <si>
    <t>2 hours</t>
  </si>
  <si>
    <t>For fixed price work we'll have a mix of standard rate and the "People Day" for the high value roles.  A 80:20 split has been agreed.  Therefore the rate used in the menu cards will be a blended rate.  Calcuations below</t>
  </si>
  <si>
    <t>80% of a standard Day</t>
  </si>
  <si>
    <t>20% of a "People Day"</t>
  </si>
  <si>
    <t>Total</t>
  </si>
  <si>
    <t>Blended USP</t>
  </si>
  <si>
    <t>People Day roles</t>
  </si>
  <si>
    <t>Role Group</t>
  </si>
  <si>
    <t>Roles</t>
  </si>
  <si>
    <t>SFIA 3*</t>
  </si>
  <si>
    <t>SFIA 4*</t>
  </si>
  <si>
    <t>SFIA 5*</t>
  </si>
  <si>
    <t>SFIA *6</t>
  </si>
  <si>
    <t>Solutioning &amp; Design</t>
  </si>
  <si>
    <t>e2e Designer</t>
  </si>
  <si>
    <t>25-30%</t>
  </si>
  <si>
    <t>45-55%</t>
  </si>
  <si>
    <t> </t>
  </si>
  <si>
    <t>Solution Architect</t>
  </si>
  <si>
    <t>Business Analyst</t>
  </si>
  <si>
    <t>Delivery Management</t>
  </si>
  <si>
    <t>Technical Delivery Manager</t>
  </si>
  <si>
    <t>45-60%</t>
  </si>
  <si>
    <t>15-20%</t>
  </si>
  <si>
    <t>Scrum Master</t>
  </si>
  <si>
    <t>Release Train Engineer</t>
  </si>
  <si>
    <t>Release Manager</t>
  </si>
  <si>
    <t>Capability Delivery Lead</t>
  </si>
  <si>
    <t>Development Lead</t>
  </si>
  <si>
    <t>60-65%</t>
  </si>
  <si>
    <t>35-40%</t>
  </si>
  <si>
    <t>Charge per Unit (£) depending on Agreement Year</t>
  </si>
  <si>
    <t>FY 27</t>
  </si>
  <si>
    <t>FY 28</t>
  </si>
  <si>
    <t>FY 29</t>
  </si>
  <si>
    <t>SALSA ID</t>
  </si>
  <si>
    <t>Component Name</t>
  </si>
  <si>
    <t>Change Category</t>
  </si>
  <si>
    <t>Change Category Description</t>
  </si>
  <si>
    <t>Median Effort - PD</t>
  </si>
  <si>
    <t>USP</t>
  </si>
  <si>
    <t>USP Cost</t>
  </si>
  <si>
    <t>Vendor Cost</t>
  </si>
  <si>
    <t>Overhead</t>
  </si>
  <si>
    <t>Total Cost</t>
  </si>
  <si>
    <t>TO</t>
  </si>
  <si>
    <t>Test Only Impact</t>
  </si>
  <si>
    <t>XS</t>
  </si>
  <si>
    <t>S</t>
  </si>
  <si>
    <t>M</t>
  </si>
  <si>
    <t>L</t>
  </si>
  <si>
    <t>XL</t>
  </si>
  <si>
    <t>Overhead %</t>
  </si>
  <si>
    <t>Requirements Analysis</t>
  </si>
  <si>
    <t xml:space="preserve">Publish HLD &amp; associated DD </t>
  </si>
  <si>
    <t>Develop and Build</t>
  </si>
  <si>
    <t>Design / Scripts Review &amp; Sign Off</t>
  </si>
  <si>
    <t>Deployment &amp; Sanity</t>
  </si>
  <si>
    <t>Cutover Plan and Execution</t>
  </si>
  <si>
    <t>Overhead (e.g. Release/ Config mgmt / Monitoring enhancements)</t>
  </si>
  <si>
    <t>Current Partner Cost</t>
  </si>
  <si>
    <t>APP02752</t>
  </si>
  <si>
    <t>MQ</t>
  </si>
  <si>
    <r>
      <rPr>
        <b/>
        <sz val="11"/>
        <color theme="1"/>
        <rFont val="Tenorite Display"/>
      </rPr>
      <t>Configuration Changes - XS Category</t>
    </r>
    <r>
      <rPr>
        <sz val="11"/>
        <color theme="1"/>
        <rFont val="Tenorite Display"/>
      </rPr>
      <t xml:space="preserve">
* Standard Configuration changes on existing MQ Objects (size limit= appx  upto 10 objects)
* Requirement &amp; Feasability Analysis.
* Schedule calls for Design clarifications (4 to 8 hrs).
* Design Document updates (HLD / DD) as necessary.
* Obtain Component Sign offs and complete design assurance.
* Perform deployments &amp; MQ Sanity 
* Estimation for 1 environment</t>
    </r>
  </si>
  <si>
    <r>
      <rPr>
        <b/>
        <sz val="11"/>
        <color theme="1"/>
        <rFont val="Tenorite Display"/>
      </rPr>
      <t xml:space="preserve">Simple Requirements - MQ Build on Existing Interfaces &amp; Existing Clusters with no special needs / Simple Decom needs
</t>
    </r>
    <r>
      <rPr>
        <sz val="11"/>
        <color theme="1"/>
        <rFont val="Tenorite Display"/>
      </rPr>
      <t>* Standard MQ Objects creation like alias queues &amp; cluster queues (size limit= upto 10 objects &amp; 2 interfaces)
* Requirement &amp; Feasability Analysis.
* Schedule calls for Design clarifications (4 to 8 hrs).
* Publish updated version of design HLD Document along with Detailed Design Document.
* MQ Design Sign Offs with source and affected interfaces
* Quality Checks through Design Assurance. 
* Perform deployments &amp; MQ Sanity tests.
* Assist Cutover and Enable standard monitoring.
* Estimation for 1 environment.</t>
    </r>
  </si>
  <si>
    <t>£3000 to 3200</t>
  </si>
  <si>
    <r>
      <rPr>
        <b/>
        <sz val="11"/>
        <color rgb="FF000000"/>
        <rFont val="Tenorite Display"/>
      </rPr>
      <t xml:space="preserve">Medium Category Requirements - MQ Build /decomm on existing or new Interfaces with 1 to 2 special needs 
</t>
    </r>
    <r>
      <rPr>
        <sz val="11"/>
        <color rgb="FF000000"/>
        <rFont val="Tenorite Display"/>
      </rPr>
      <t>* Standard MQ Objects creation like alias queues &amp; cluster queues (size limit= upto 20 objects &amp; 5 interfaces)
* Requirement &amp; Feasability Analysis.
* Schedule calls for Design clarifications .
* Publish updated version of design HLD Document along with Detailed Design Document.
* MQ Design Sign Offs with source and affected interfaces
* Quality Checks through Design Assurance. 
* Perform deployments &amp; MQ Sanity tests.
* Assist Cutover and Enable standard monitoring.
* Estimation for 1 environment.</t>
    </r>
  </si>
  <si>
    <r>
      <rPr>
        <b/>
        <sz val="11"/>
        <color theme="1"/>
        <rFont val="Tenorite Display"/>
      </rPr>
      <t xml:space="preserve">Large Category Requirements - MQ Build /decomm on existing or new Interfaces with 2+ special needs or transformations programme requirements that spans upto 2 months
</t>
    </r>
    <r>
      <rPr>
        <sz val="11"/>
        <color theme="1"/>
        <rFont val="Tenorite Display"/>
      </rPr>
      <t>* Standard MQ Objects creation like alias queues &amp; cluster queues (size limit=  20+ objects &amp; 5+ interfaces)
* Requirement &amp; Feasability Analysis.
* Schedule calls for Design clarifications.
* Publish updated version of design HLD Document along with Detailed Design Document.
* MQ Design Sign Offs with source and affected interfaces
* Quality Checks through Design Assurance. 
* Perform deployments &amp; MQ Sanity tests.
* Assist Cutover and Enable standard monitoring.
* Estimation for 1 environment.</t>
    </r>
  </si>
  <si>
    <r>
      <rPr>
        <b/>
        <sz val="11"/>
        <color theme="1"/>
        <rFont val="Tenorite Display"/>
      </rPr>
      <t xml:space="preserve">XL Category Requirements - MQ Build /decomm on existing or new Interfaces with many special needs or transformation programme requirements that spans upto 3 months
</t>
    </r>
    <r>
      <rPr>
        <sz val="11"/>
        <color theme="1"/>
        <rFont val="Tenorite Display"/>
      </rPr>
      <t>* Standard MQ Objects creation like alias queues &amp; cluster queues
* Requirement &amp; Feasability Analysis.
* Schedule calls for Design clarifications .
* Publish updated version of design HLD Document along with Detailed Design Document.
* MQ Design Sign Offs with source and affected interfaces
* Quality Checks through Design Assurance. 
* Perform deployments &amp; MQ Sanity tests.
* Assist Cutover and Enable standard monitoring.
* Estimation for 1 environment.</t>
    </r>
  </si>
  <si>
    <t>£7500 to 8000</t>
  </si>
  <si>
    <t>XXL</t>
  </si>
  <si>
    <r>
      <rPr>
        <b/>
        <sz val="11"/>
        <color theme="1"/>
        <rFont val="Tenorite Display"/>
      </rPr>
      <t xml:space="preserve">Bigger or Complex Requirements -MQ Build /decomm on existing or new Interfaces  with many special needs or transformations programme requirements that spans upto 4 months
</t>
    </r>
    <r>
      <rPr>
        <sz val="11"/>
        <color theme="1"/>
        <rFont val="Tenorite Display"/>
      </rPr>
      <t>* Standard MQ Objects creation like alias queues &amp; cluster queues 
* Requirement &amp; Feasability Analysis.
* Schedule calls for Design clarifications .
* Publish updated version of design HLD Document along with Detailed Design Document.
* MQ Design Sign Offs with source and affected interfaces
* Quality Checks through Design Assurance. 
* Perform deployments &amp; MQ Sanity tests.
* Assist Cutover and Enable standard monitoring.
* Estimation for 1 environment.</t>
    </r>
  </si>
  <si>
    <r>
      <rPr>
        <b/>
        <sz val="11"/>
        <color rgb="FF000000"/>
        <rFont val="Tenorite Display"/>
      </rPr>
      <t xml:space="preserve">Simple Quota setup and Config Changes
</t>
    </r>
    <r>
      <rPr>
        <sz val="11"/>
        <color rgb="FF000000"/>
        <rFont val="Tenorite Display"/>
      </rPr>
      <t xml:space="preserve">
* Requirement &amp; Feasability Analysis.
* Schedule calls for Design clarifications .
* Publish updated version of design HLD Document along with Detailed Design Document.
* MQ Design Sign Offs with source and affected interfaces
* Quality Checks through Design Assurance. 
* Quota Build and Installations.
* Assist Cutover and Enable standard monitoring.
* Estimation for 1 environment and 1 quota setup / amendments.</t>
    </r>
  </si>
  <si>
    <r>
      <rPr>
        <b/>
        <sz val="11"/>
        <color rgb="FF000000"/>
        <rFont val="Tenorite Display"/>
      </rPr>
      <t xml:space="preserve">MQ Client Installations
</t>
    </r>
    <r>
      <rPr>
        <sz val="11"/>
        <color rgb="FF000000"/>
        <rFont val="Tenorite Display"/>
      </rPr>
      <t xml:space="preserve">
* Requirement &amp; Feasability Analysis.
* Schedule calls for Design clarifications.
* Scripts preperations as per OS and Client Package selected.
* Quality Checks through Peer Reviews. 
* Quota Build and Installations.
* Assist Cutover and Enable standard monitoring.
* Estimation for 1 Server in 1 environment.</t>
    </r>
  </si>
  <si>
    <t>Prepare Build Scripts</t>
  </si>
  <si>
    <t>Post Build Verifications</t>
  </si>
  <si>
    <t>WLS</t>
  </si>
  <si>
    <t>WLS Patching Support</t>
  </si>
  <si>
    <r>
      <rPr>
        <b/>
        <sz val="11"/>
        <color theme="1"/>
        <rFont val="Tenorite Display"/>
      </rPr>
      <t>Simple WLS / OHS Build Requirements (upto 2 domains in one environment)</t>
    </r>
    <r>
      <rPr>
        <sz val="11"/>
        <color theme="1"/>
        <rFont val="Tenorite Display"/>
      </rPr>
      <t xml:space="preserve">
* Requirement &amp; Feasability Analysis.
* Schedule calls for clarifications.
* Scripts preperations as per OS.
* Quality Checks through Peer Reviews. 
* Complete Domain Build.
* Golive Support to platform teams.
</t>
    </r>
  </si>
  <si>
    <t>NA</t>
  </si>
  <si>
    <r>
      <rPr>
        <b/>
        <sz val="11"/>
        <color theme="1"/>
        <rFont val="Tenorite Display"/>
      </rPr>
      <t>Smaller WLS / OHS Build Requirements (upto 5 domains in one environment)</t>
    </r>
    <r>
      <rPr>
        <sz val="11"/>
        <color theme="1"/>
        <rFont val="Tenorite Display"/>
      </rPr>
      <t xml:space="preserve">
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</si>
  <si>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>Smaller WLS / OHS Build Requirements (upto 10 domains in one environment)</t>
    </r>
    <r>
      <rPr>
        <sz val="11"/>
        <color theme="1"/>
        <rFont val="Tenorite Display"/>
      </rPr>
      <t xml:space="preserve">
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</si>
  <si>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>Smaller WLS / OHS Build Requirements (upto 15 domains in one environment)</t>
    </r>
    <r>
      <rPr>
        <sz val="11"/>
        <color theme="1"/>
        <rFont val="Tenorite Display"/>
      </rPr>
      <t xml:space="preserve">
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</si>
  <si>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 xml:space="preserve">Smaller WLS / OHS Build Requirements (20domains in one environment)
</t>
    </r>
    <r>
      <rPr>
        <sz val="11"/>
        <color theme="1"/>
        <rFont val="Tenorite Display"/>
      </rPr>
      <t>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</si>
  <si>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>SOA / OSB / OBI domain installations (upto 2 domains in one environment)</t>
    </r>
    <r>
      <rPr>
        <sz val="11"/>
        <color theme="1"/>
        <rFont val="Tenorite Display"/>
      </rPr>
      <t xml:space="preserve">
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</si>
  <si>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 xml:space="preserve">SOA / OSB / OBI domain installations (upto 5 domains in one environment)
</t>
    </r>
    <r>
      <rPr>
        <sz val="11"/>
        <color theme="1"/>
        <rFont val="Tenorite Display"/>
      </rPr>
      <t>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</si>
  <si>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 xml:space="preserve">SOA / OSB / OBI domain installations (upto 10 domains in one environment)
</t>
    </r>
    <r>
      <rPr>
        <sz val="11"/>
        <color theme="1"/>
        <rFont val="Tenorite Display"/>
      </rPr>
      <t>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</si>
  <si>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 xml:space="preserve">SOA / OSB / OBI domain installations (upto 15 domains in one environment)
</t>
    </r>
    <r>
      <rPr>
        <sz val="11"/>
        <color theme="1"/>
        <rFont val="Tenorite Display"/>
      </rPr>
      <t>* Requirement &amp; Feasability Analysis.
* Schedule calls for clarifications.
* Scripts preperations as per OS.
* Quality Checks through Peer Reviews. 
* Complete Domain Build.
* Golive Support to platform teams.</t>
    </r>
  </si>
  <si>
    <r>
      <rPr>
        <b/>
        <sz val="11"/>
        <color theme="1"/>
        <rFont val="Tenorite Display"/>
      </rPr>
      <t xml:space="preserve">SOA / OSB / OBI domain installations (upto 20 domains in one environment)
</t>
    </r>
    <r>
      <rPr>
        <sz val="11"/>
        <color theme="1"/>
        <rFont val="Tenorite Display"/>
      </rPr>
      <t>* Requirement &amp; Feasability Analysis.
* Schedule calls for clarifications.
* Scripts preperations as per OS.
* Quality Checks through Peer Reviews. 
* Complete Domain Build.
* Golive Support to platform teams.</t>
    </r>
  </si>
  <si>
    <t>MQ Client installation.</t>
  </si>
  <si>
    <t>Requirements Analysis/ clarifications/quality checks</t>
  </si>
  <si>
    <t>Implement</t>
  </si>
  <si>
    <t xml:space="preserve">Post implementation testing </t>
  </si>
  <si>
    <t>Release/ Go live support</t>
  </si>
  <si>
    <t>CFT</t>
  </si>
  <si>
    <r>
      <rPr>
        <b/>
        <sz val="11"/>
        <color theme="1"/>
        <rFont val="Tenorite Display"/>
      </rPr>
      <t xml:space="preserve">Basic non-CSS CFT z/OS configuration requirement (up to 2 LPAR/Images)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</si>
  <si>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t xml:space="preserve">Smaller non-CSS CFT z/OS configuration requirement (up to 5 LPAR/Images)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</si>
  <si>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t xml:space="preserve">Medium non-CSS CFT z/OS configuration requirement (up to 10 LPAR/Images)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</si>
  <si>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Basic CSS CFT z/OS configuration (29xCSS LPAR/Images)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</si>
  <si>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t xml:space="preserve">Basic CFT Unix/Windows Configuration requirement. (up to 2 servers)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</si>
  <si>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Smaller CFT Unix/Windows Configuration requirement. (up to 5 servers)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</si>
  <si>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Med/Large CFT Unix/Windows Configuration requirement. (10+ servers)
</t>
    </r>
    <r>
      <rPr>
        <sz val="11"/>
        <color theme="1"/>
        <rFont val="Tenorite Display"/>
      </rPr>
      <t>* Requirement &amp; Feasability Analysis.
* Schedule any calls for clarifications.
* Quality Check configuration requested. 
* Complete configuration build &amp; sanity.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</si>
  <si>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Basic CFT manual install Unix/Windows requirement. (up to 2 servers)
</t>
    </r>
    <r>
      <rPr>
        <sz val="11"/>
        <color theme="1"/>
        <rFont val="Tenorite Display"/>
      </rPr>
      <t>* Requirement &amp; Feasability Analysis.
* Schedule any calls for clarifications.
* Quality Check installation pre-requisites. 
* Complete installation and perform install verification testing.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</si>
  <si>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Smaller CFT manual install Unix/Windows requirement. (up to 5 servers)
</t>
    </r>
    <r>
      <rPr>
        <sz val="11"/>
        <color theme="1"/>
        <rFont val="Tenorite Display"/>
      </rPr>
      <t>* Requirement &amp; Feasability Analysis.
* Schedule any calls for clarifications.
* Quality Check installation pre-requisites. 
* Complete installation and perform install verification testing.
* Handle CR Tasks: update &amp; close.
* Post implementation/ go live support to ASG/Platform.</t>
    </r>
  </si>
  <si>
    <r>
      <rPr>
        <b/>
        <sz val="11"/>
        <color theme="1"/>
        <rFont val="Tenorite Display"/>
      </rPr>
      <t xml:space="preserve">Med/Large CFT manual install Unix/Windows requirement. (5+ servers)
</t>
    </r>
    <r>
      <rPr>
        <sz val="11"/>
        <color theme="1"/>
        <rFont val="Tenorite Display"/>
      </rPr>
      <t>* Requirement &amp; Feasability Analysis.
* Schedule any calls for clarifications.
* Quality Check installation pre-requisites. 
* Complete installation and perform install verification testing.
* Handle CR Tasks: update &amp; close.
* Post implementation/ go live	 support to ASG/Platform.</t>
    </r>
  </si>
  <si>
    <t>Configuration Modification</t>
  </si>
  <si>
    <t>WILDFLY</t>
  </si>
  <si>
    <t xml:space="preserve">Simple WILDFLY Build Requirements (upto 2 domains in one environment)
* Requirement &amp; Feasability Analysis.
* Schedule calls for clarifications.
* Config modification as per requirement.
* Quality Checks through Peer Reviews. 
* Complete Domain Build.
* Golive Support to platform teams.
</t>
  </si>
  <si>
    <t>Smaller WILDFLY Build Requirements (upto 5 domains in one environment)
* Requirement &amp; Feasability Analysis.
* Schedule calls for clarifications.
* Config modification as per requirement.
* Quality Checks through Peer Reviews. 
* Complete Domain Build.
* Golive Support to platform teams.</t>
  </si>
  <si>
    <t>Smaller WILDFLY Build Requirements (upto 10 domains in one environment)
* Requirement &amp; Feasability Analysis.
* Schedule calls for clarifications.
* Config modification as per requirement.
* Quality Checks through Peer Reviews. 
* Complete Domain Build.
* Golive Support to platform teams.</t>
  </si>
  <si>
    <t>Smaller WILDFLY Build Requirements (upto 15 domains in one environment)
* Requirement &amp; Feasability Analysis.
* Schedule calls for clarifications.
* Config modification as per requirement.
* Quality Checks through Peer Reviews. 
* Complete Domain Build.
* Golive Support to platform teams.</t>
  </si>
  <si>
    <t>Smaller WILDFLY Build Requirements (20domains in one environment)
* Requirement &amp; Feasability Analysis.
* Schedule calls for clarifications.
* Config modification as per requirement.
* Quality Checks through Peer Reviews. 
* Complete Domain Build.
* Golive Support to platform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</si>
</sst>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&quot;£&quot;#,##0"/>
    <numFmt numFmtId="166" formatCode="_-[$£-809]* #,##0.00_-;\-[$£-809]* #,##0.00_-;_-[$£-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enorite Display"/>
    </font>
    <font>
      <sz val="11"/>
      <color rgb="FF000000"/>
      <name val="Tenorite Display"/>
    </font>
    <font>
      <b/>
      <sz val="11"/>
      <color theme="1"/>
      <name val="Tenorite Display"/>
    </font>
    <font>
      <b/>
      <sz val="11"/>
      <color rgb="FF000000"/>
      <name val="Tenorite Display"/>
    </font>
    <font>
      <sz val="11"/>
      <color theme="0"/>
      <name val="Tenorite Display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164" fontId="4" fillId="0" borderId="6" xfId="0" applyNumberFormat="1" applyFont="1" applyBorder="1" applyAlignment="1">
      <alignment horizontal="left" vertical="center" wrapText="1"/>
    </xf>
    <xf numFmtId="164" fontId="3" fillId="0" borderId="0" xfId="0" applyNumberFormat="1" applyFont="1"/>
    <xf numFmtId="0" fontId="5" fillId="10" borderId="3" xfId="0" applyFont="1" applyFill="1" applyBorder="1" applyAlignment="1">
      <alignment horizontal="justify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justify" vertical="center" wrapText="1"/>
    </xf>
    <xf numFmtId="0" fontId="4" fillId="11" borderId="6" xfId="0" applyFont="1" applyFill="1" applyBorder="1" applyAlignment="1">
      <alignment horizontal="left" vertical="center" wrapText="1"/>
    </xf>
    <xf numFmtId="164" fontId="4" fillId="11" borderId="6" xfId="0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left" vertical="center" wrapText="1"/>
    </xf>
    <xf numFmtId="164" fontId="5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5" fillId="9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6" fillId="12" borderId="3" xfId="0" applyFont="1" applyFill="1" applyBorder="1"/>
    <xf numFmtId="0" fontId="6" fillId="12" borderId="4" xfId="0" applyFont="1" applyFill="1" applyBorder="1"/>
    <xf numFmtId="0" fontId="4" fillId="0" borderId="6" xfId="0" applyFont="1" applyBorder="1"/>
    <xf numFmtId="0" fontId="4" fillId="0" borderId="5" xfId="0" applyFont="1" applyBorder="1"/>
    <xf numFmtId="0" fontId="4" fillId="0" borderId="1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9" fontId="5" fillId="6" borderId="1" xfId="2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2" fontId="5" fillId="7" borderId="1" xfId="0" applyNumberFormat="1" applyFont="1" applyFill="1" applyBorder="1" applyAlignment="1">
      <alignment horizontal="center" vertical="center" wrapText="1"/>
    </xf>
    <xf numFmtId="1" fontId="5" fillId="8" borderId="1" xfId="2" applyNumberFormat="1" applyFont="1" applyFill="1" applyBorder="1" applyAlignment="1">
      <alignment horizontal="center" vertical="center" wrapText="1"/>
    </xf>
    <xf numFmtId="166" fontId="5" fillId="8" borderId="1" xfId="2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2" fontId="5" fillId="13" borderId="1" xfId="0" applyNumberFormat="1" applyFont="1" applyFill="1" applyBorder="1" applyAlignment="1">
      <alignment horizontal="center" vertical="center" wrapText="1"/>
    </xf>
    <xf numFmtId="1" fontId="5" fillId="13" borderId="1" xfId="2" applyNumberFormat="1" applyFont="1" applyFill="1" applyBorder="1" applyAlignment="1">
      <alignment horizontal="center" vertical="center" wrapText="1"/>
    </xf>
    <xf numFmtId="166" fontId="5" fillId="13" borderId="1" xfId="2" applyNumberFormat="1" applyFont="1" applyFill="1" applyBorder="1" applyAlignment="1">
      <alignment horizontal="center" vertical="center" wrapText="1"/>
    </xf>
    <xf numFmtId="0" fontId="3" fillId="13" borderId="0" xfId="0" applyFont="1" applyFill="1"/>
    <xf numFmtId="0" fontId="3" fillId="8" borderId="2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justify" vertical="center" wrapText="1"/>
    </xf>
    <xf numFmtId="0" fontId="10" fillId="10" borderId="5" xfId="0" applyFont="1" applyFill="1" applyBorder="1" applyAlignment="1">
      <alignment horizontal="justify" vertical="center" wrapText="1"/>
    </xf>
    <xf numFmtId="0" fontId="10" fillId="10" borderId="6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justify" vertical="center" wrapText="1"/>
    </xf>
    <xf numFmtId="164" fontId="11" fillId="0" borderId="6" xfId="0" applyNumberFormat="1" applyFont="1" applyBorder="1" applyAlignment="1">
      <alignment horizontal="right" vertical="center" wrapText="1"/>
    </xf>
    <xf numFmtId="164" fontId="12" fillId="0" borderId="6" xfId="0" applyNumberFormat="1" applyFont="1" applyBorder="1" applyAlignment="1">
      <alignment horizontal="right" vertical="center" wrapText="1"/>
    </xf>
    <xf numFmtId="2" fontId="3" fillId="0" borderId="0" xfId="0" applyNumberFormat="1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5" fillId="14" borderId="0" xfId="0" applyNumberFormat="1" applyFont="1" applyFill="1"/>
    <xf numFmtId="9" fontId="3" fillId="0" borderId="0" xfId="0" applyNumberFormat="1" applyFont="1"/>
    <xf numFmtId="0" fontId="10" fillId="10" borderId="7" xfId="0" applyFont="1" applyFill="1" applyBorder="1" applyAlignment="1">
      <alignment horizontal="left" vertical="center" wrapText="1"/>
    </xf>
    <xf numFmtId="0" fontId="10" fillId="10" borderId="8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5" xfId="0" applyFont="1" applyBorder="1"/>
    <xf numFmtId="0" fontId="4" fillId="0" borderId="10" xfId="0" applyFont="1" applyBorder="1"/>
    <xf numFmtId="0" fontId="4" fillId="0" borderId="11" xfId="0" applyFont="1" applyBorder="1"/>
  </cellXfs>
  <cellStyles count="3">
    <cellStyle name="Normal" xfId="0" builtinId="0"/>
    <cellStyle name="Normal 3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A621-5C5A-43E6-B21F-CD987FE50B93}">
  <dimension ref="A3:D15"/>
  <sheetViews>
    <sheetView workbookViewId="0">
      <selection activeCell="G13" sqref="G13"/>
    </sheetView>
  </sheetViews>
  <sheetFormatPr defaultColWidth="9.140625" defaultRowHeight="15" x14ac:dyDescent="0.25"/>
  <cols>
    <col min="1" max="1" width="9.140625" style="1"/>
    <col min="2" max="2" width="10.7109375" style="1" bestFit="1" customWidth="1"/>
    <col min="3" max="3" width="38.7109375" style="1" customWidth="1"/>
    <col min="4" max="4" width="10.7109375" style="1" bestFit="1" customWidth="1"/>
    <col min="5" max="16384" width="9.140625" style="1"/>
  </cols>
  <sheetData>
    <row r="3" spans="1:4" x14ac:dyDescent="0.25">
      <c r="A3" s="17" t="s">
        <v>0</v>
      </c>
      <c r="B3" s="17" t="s">
        <v>1</v>
      </c>
      <c r="C3" s="17" t="s">
        <v>2</v>
      </c>
      <c r="D3" s="17" t="s">
        <v>3</v>
      </c>
    </row>
    <row r="4" spans="1:4" x14ac:dyDescent="0.25">
      <c r="A4" s="18" t="s">
        <v>4</v>
      </c>
      <c r="B4" s="18" t="s">
        <v>5</v>
      </c>
      <c r="C4" s="18" t="s">
        <v>6</v>
      </c>
      <c r="D4" s="19">
        <v>44888</v>
      </c>
    </row>
    <row r="5" spans="1:4" x14ac:dyDescent="0.25">
      <c r="A5" s="18" t="s">
        <v>7</v>
      </c>
      <c r="B5" s="18" t="s">
        <v>5</v>
      </c>
      <c r="C5" s="18" t="s">
        <v>8</v>
      </c>
      <c r="D5" s="19">
        <v>45012</v>
      </c>
    </row>
    <row r="6" spans="1:4" x14ac:dyDescent="0.25">
      <c r="A6" s="18" t="s">
        <v>9</v>
      </c>
      <c r="B6" s="18" t="s">
        <v>10</v>
      </c>
      <c r="C6" s="18" t="s">
        <v>11</v>
      </c>
      <c r="D6" s="19">
        <v>45037</v>
      </c>
    </row>
    <row r="7" spans="1:4" x14ac:dyDescent="0.25">
      <c r="A7" s="18" t="s">
        <v>12</v>
      </c>
      <c r="B7" s="18" t="s">
        <v>13</v>
      </c>
      <c r="C7" s="18" t="s">
        <v>14</v>
      </c>
      <c r="D7" s="19">
        <v>45040</v>
      </c>
    </row>
    <row r="8" spans="1:4" x14ac:dyDescent="0.25">
      <c r="A8" s="18" t="s">
        <v>15</v>
      </c>
      <c r="B8" s="18" t="s">
        <v>10</v>
      </c>
      <c r="C8" s="18" t="s">
        <v>16</v>
      </c>
      <c r="D8" s="19">
        <v>45048</v>
      </c>
    </row>
    <row r="9" spans="1:4" x14ac:dyDescent="0.25">
      <c r="A9" s="18" t="s">
        <v>17</v>
      </c>
      <c r="B9" s="18" t="s">
        <v>10</v>
      </c>
      <c r="C9" s="18" t="s">
        <v>18</v>
      </c>
      <c r="D9" s="19">
        <v>45064</v>
      </c>
    </row>
    <row r="10" spans="1:4" x14ac:dyDescent="0.25">
      <c r="A10" s="18" t="s">
        <v>19</v>
      </c>
      <c r="B10" s="18" t="s">
        <v>10</v>
      </c>
      <c r="C10" s="18" t="s">
        <v>20</v>
      </c>
      <c r="D10" s="19">
        <v>45065</v>
      </c>
    </row>
    <row r="11" spans="1:4" x14ac:dyDescent="0.25">
      <c r="A11" s="18" t="s">
        <v>21</v>
      </c>
      <c r="B11" s="18" t="s">
        <v>22</v>
      </c>
      <c r="C11" s="18" t="s">
        <v>23</v>
      </c>
      <c r="D11" s="19">
        <v>45355</v>
      </c>
    </row>
    <row r="12" spans="1:4" x14ac:dyDescent="0.25">
      <c r="A12" s="18" t="s">
        <v>24</v>
      </c>
      <c r="B12" s="18" t="s">
        <v>22</v>
      </c>
      <c r="C12" s="18" t="s">
        <v>25</v>
      </c>
      <c r="D12" s="19">
        <v>45363</v>
      </c>
    </row>
    <row r="13" spans="1:4" x14ac:dyDescent="0.25">
      <c r="A13" s="18" t="s">
        <v>26</v>
      </c>
      <c r="B13" s="18" t="s">
        <v>22</v>
      </c>
      <c r="C13" s="18" t="s">
        <v>27</v>
      </c>
      <c r="D13" s="19">
        <v>45385</v>
      </c>
    </row>
    <row r="14" spans="1:4" x14ac:dyDescent="0.25">
      <c r="A14" s="18" t="s">
        <v>28</v>
      </c>
      <c r="B14" s="18" t="s">
        <v>22</v>
      </c>
      <c r="C14" s="18" t="s">
        <v>29</v>
      </c>
      <c r="D14" s="19">
        <v>45414</v>
      </c>
    </row>
    <row r="15" spans="1:4" x14ac:dyDescent="0.25">
      <c r="A15" s="18" t="s">
        <v>30</v>
      </c>
      <c r="B15" s="18" t="s">
        <v>31</v>
      </c>
      <c r="C15" s="18" t="s">
        <v>32</v>
      </c>
      <c r="D15" s="19">
        <v>46093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CF7C-1995-4F21-91DB-4C30D311319B}">
  <dimension ref="A1:K33"/>
  <sheetViews>
    <sheetView zoomScale="85" zoomScaleNormal="85" workbookViewId="0">
      <selection activeCell="M8" sqref="M8"/>
    </sheetView>
  </sheetViews>
  <sheetFormatPr defaultColWidth="9.140625" defaultRowHeight="15" x14ac:dyDescent="0.25"/>
  <cols>
    <col min="1" max="1" width="21.140625" style="1" bestFit="1" customWidth="1"/>
    <col min="2" max="2" width="24.140625" style="1" bestFit="1" customWidth="1"/>
    <col min="3" max="3" width="19.140625" style="1" customWidth="1"/>
    <col min="4" max="7" width="9.140625" style="1"/>
    <col min="8" max="8" width="10" style="1" bestFit="1" customWidth="1"/>
    <col min="9" max="9" width="10" style="1" customWidth="1"/>
    <col min="10" max="16384" width="9.140625" style="1"/>
  </cols>
  <sheetData>
    <row r="1" spans="1:11" ht="15.75" thickBot="1" x14ac:dyDescent="0.3"/>
    <row r="2" spans="1:11" ht="15.75" thickBot="1" x14ac:dyDescent="0.3">
      <c r="A2" s="4" t="s">
        <v>33</v>
      </c>
      <c r="B2" s="5" t="s">
        <v>34</v>
      </c>
      <c r="C2" s="5" t="s">
        <v>35</v>
      </c>
    </row>
    <row r="3" spans="1:11" ht="15.75" thickBot="1" x14ac:dyDescent="0.3">
      <c r="A3" s="6" t="s">
        <v>36</v>
      </c>
      <c r="B3" s="7" t="s">
        <v>37</v>
      </c>
      <c r="C3" s="8">
        <v>144</v>
      </c>
      <c r="D3" s="3"/>
      <c r="F3" s="3"/>
      <c r="G3" s="3"/>
      <c r="H3" s="3"/>
      <c r="I3" s="3"/>
    </row>
    <row r="4" spans="1:11" ht="15.75" thickBot="1" x14ac:dyDescent="0.3">
      <c r="A4" s="9" t="s">
        <v>38</v>
      </c>
      <c r="B4" s="10" t="s">
        <v>39</v>
      </c>
      <c r="C4" s="11">
        <f>C5*2</f>
        <v>102.9</v>
      </c>
      <c r="E4" s="3"/>
      <c r="F4" s="3"/>
      <c r="G4" s="3"/>
      <c r="H4" s="3"/>
      <c r="I4" s="3"/>
      <c r="J4" s="3"/>
      <c r="K4" s="3"/>
    </row>
    <row r="5" spans="1:11" ht="15.75" thickBot="1" x14ac:dyDescent="0.3">
      <c r="A5" s="9" t="s">
        <v>40</v>
      </c>
      <c r="B5" s="10" t="s">
        <v>41</v>
      </c>
      <c r="C5" s="2">
        <v>51.45</v>
      </c>
      <c r="E5" s="3"/>
      <c r="F5" s="3"/>
      <c r="G5" s="3"/>
      <c r="H5" s="3"/>
      <c r="I5" s="3"/>
      <c r="J5" s="3"/>
      <c r="K5" s="3"/>
    </row>
    <row r="6" spans="1:11" ht="15.75" thickBot="1" x14ac:dyDescent="0.3">
      <c r="A6" s="9" t="s">
        <v>42</v>
      </c>
      <c r="B6" s="10" t="s">
        <v>43</v>
      </c>
      <c r="C6" s="11"/>
      <c r="E6" s="3"/>
      <c r="F6" s="3"/>
      <c r="G6" s="3"/>
      <c r="H6" s="3"/>
      <c r="I6" s="3"/>
      <c r="J6" s="3"/>
      <c r="K6" s="3"/>
    </row>
    <row r="7" spans="1:11" ht="15.75" thickBot="1" x14ac:dyDescent="0.3">
      <c r="A7" s="14"/>
      <c r="B7" s="15"/>
      <c r="C7" s="16"/>
      <c r="H7" s="3"/>
      <c r="I7" s="3"/>
    </row>
    <row r="8" spans="1:11" ht="47.25" customHeight="1" thickBot="1" x14ac:dyDescent="0.3">
      <c r="A8" s="64" t="s">
        <v>44</v>
      </c>
      <c r="B8" s="65"/>
      <c r="C8" s="66"/>
      <c r="F8" s="3"/>
      <c r="G8" s="3"/>
      <c r="J8" s="60"/>
    </row>
    <row r="9" spans="1:11" x14ac:dyDescent="0.25">
      <c r="A9" s="14"/>
      <c r="B9" s="15"/>
      <c r="C9" s="16"/>
    </row>
    <row r="11" spans="1:11" x14ac:dyDescent="0.25">
      <c r="B11" s="1" t="s">
        <v>45</v>
      </c>
      <c r="C11" s="3">
        <f>80%*C4</f>
        <v>82.320000000000007</v>
      </c>
      <c r="E11" s="3"/>
    </row>
    <row r="12" spans="1:11" x14ac:dyDescent="0.25">
      <c r="B12" s="1" t="s">
        <v>46</v>
      </c>
      <c r="C12" s="3">
        <f>20%*C3</f>
        <v>28.8</v>
      </c>
      <c r="E12" s="3"/>
    </row>
    <row r="13" spans="1:11" x14ac:dyDescent="0.25">
      <c r="B13" s="1" t="s">
        <v>47</v>
      </c>
      <c r="C13" s="3">
        <f>SUM(C11:C12)</f>
        <v>111.12</v>
      </c>
      <c r="E13" s="3"/>
    </row>
    <row r="14" spans="1:11" x14ac:dyDescent="0.25">
      <c r="B14" s="13" t="s">
        <v>48</v>
      </c>
      <c r="C14" s="59">
        <f>C13/2</f>
        <v>55.56</v>
      </c>
      <c r="D14" s="3"/>
      <c r="E14" s="12"/>
    </row>
    <row r="17" spans="1:6" ht="15.75" thickBot="1" x14ac:dyDescent="0.3">
      <c r="A17" s="1" t="s">
        <v>49</v>
      </c>
    </row>
    <row r="18" spans="1:6" ht="15.75" thickBot="1" x14ac:dyDescent="0.3">
      <c r="A18" s="20" t="s">
        <v>50</v>
      </c>
      <c r="B18" s="21" t="s">
        <v>51</v>
      </c>
      <c r="C18" s="21" t="s">
        <v>52</v>
      </c>
      <c r="D18" s="21" t="s">
        <v>53</v>
      </c>
      <c r="E18" s="21" t="s">
        <v>54</v>
      </c>
      <c r="F18" s="21" t="s">
        <v>55</v>
      </c>
    </row>
    <row r="19" spans="1:6" ht="15.75" thickBot="1" x14ac:dyDescent="0.3">
      <c r="A19" s="67" t="s">
        <v>56</v>
      </c>
      <c r="B19" s="22" t="s">
        <v>57</v>
      </c>
      <c r="C19" s="69" t="s">
        <v>58</v>
      </c>
      <c r="D19" s="69" t="s">
        <v>59</v>
      </c>
      <c r="E19" s="69" t="s">
        <v>58</v>
      </c>
      <c r="F19" s="69" t="s">
        <v>60</v>
      </c>
    </row>
    <row r="20" spans="1:6" ht="15.75" thickBot="1" x14ac:dyDescent="0.3">
      <c r="A20" s="67"/>
      <c r="B20" s="22" t="s">
        <v>61</v>
      </c>
      <c r="C20" s="69"/>
      <c r="D20" s="69"/>
      <c r="E20" s="69"/>
      <c r="F20" s="69"/>
    </row>
    <row r="21" spans="1:6" ht="15.75" thickBot="1" x14ac:dyDescent="0.3">
      <c r="A21" s="68"/>
      <c r="B21" s="22" t="s">
        <v>62</v>
      </c>
      <c r="C21" s="70"/>
      <c r="D21" s="70"/>
      <c r="E21" s="70"/>
      <c r="F21" s="70"/>
    </row>
    <row r="22" spans="1:6" ht="15.75" thickBot="1" x14ac:dyDescent="0.3">
      <c r="A22" s="67" t="s">
        <v>63</v>
      </c>
      <c r="B22" s="22" t="s">
        <v>64</v>
      </c>
      <c r="C22" s="69" t="s">
        <v>58</v>
      </c>
      <c r="D22" s="69" t="s">
        <v>65</v>
      </c>
      <c r="E22" s="69" t="s">
        <v>66</v>
      </c>
      <c r="F22" s="69" t="s">
        <v>60</v>
      </c>
    </row>
    <row r="23" spans="1:6" ht="15.75" thickBot="1" x14ac:dyDescent="0.3">
      <c r="A23" s="67"/>
      <c r="B23" s="22" t="s">
        <v>67</v>
      </c>
      <c r="C23" s="69"/>
      <c r="D23" s="69"/>
      <c r="E23" s="69"/>
      <c r="F23" s="69"/>
    </row>
    <row r="24" spans="1:6" ht="15.75" thickBot="1" x14ac:dyDescent="0.3">
      <c r="A24" s="67"/>
      <c r="B24" s="22" t="s">
        <v>68</v>
      </c>
      <c r="C24" s="69"/>
      <c r="D24" s="69"/>
      <c r="E24" s="69"/>
      <c r="F24" s="69"/>
    </row>
    <row r="25" spans="1:6" ht="15.75" thickBot="1" x14ac:dyDescent="0.3">
      <c r="A25" s="68"/>
      <c r="B25" s="22" t="s">
        <v>69</v>
      </c>
      <c r="C25" s="70"/>
      <c r="D25" s="70"/>
      <c r="E25" s="70"/>
      <c r="F25" s="70"/>
    </row>
    <row r="26" spans="1:6" ht="15.75" thickBot="1" x14ac:dyDescent="0.3">
      <c r="A26" s="23" t="s">
        <v>70</v>
      </c>
      <c r="B26" s="22" t="s">
        <v>71</v>
      </c>
      <c r="C26" s="24" t="s">
        <v>60</v>
      </c>
      <c r="D26" s="24" t="s">
        <v>72</v>
      </c>
      <c r="E26" s="24" t="s">
        <v>73</v>
      </c>
      <c r="F26" s="24" t="s">
        <v>60</v>
      </c>
    </row>
    <row r="29" spans="1:6" ht="15.75" thickBot="1" x14ac:dyDescent="0.3"/>
    <row r="30" spans="1:6" ht="15.75" thickBot="1" x14ac:dyDescent="0.3">
      <c r="A30" s="48"/>
      <c r="B30" s="61" t="s">
        <v>74</v>
      </c>
      <c r="C30" s="62"/>
      <c r="D30" s="62"/>
      <c r="E30" s="63"/>
    </row>
    <row r="31" spans="1:6" ht="15.75" thickBot="1" x14ac:dyDescent="0.3">
      <c r="A31" s="49" t="s">
        <v>33</v>
      </c>
      <c r="B31" s="50" t="s">
        <v>75</v>
      </c>
      <c r="C31" s="50" t="s">
        <v>76</v>
      </c>
      <c r="D31" s="50" t="s">
        <v>77</v>
      </c>
      <c r="E31" s="50"/>
    </row>
    <row r="32" spans="1:6" ht="15.75" thickBot="1" x14ac:dyDescent="0.3">
      <c r="A32" s="51" t="s">
        <v>40</v>
      </c>
      <c r="B32" s="52">
        <v>51.45</v>
      </c>
      <c r="C32" s="52">
        <v>51.45</v>
      </c>
      <c r="D32" s="52">
        <v>51.45</v>
      </c>
      <c r="E32" s="52"/>
    </row>
    <row r="33" spans="1:5" ht="15.75" thickBot="1" x14ac:dyDescent="0.3">
      <c r="A33" s="51" t="s">
        <v>36</v>
      </c>
      <c r="B33" s="53">
        <v>144</v>
      </c>
      <c r="C33" s="53">
        <v>145.44</v>
      </c>
      <c r="D33" s="53">
        <v>146.88999999999999</v>
      </c>
      <c r="E33" s="53"/>
    </row>
  </sheetData>
  <mergeCells count="12">
    <mergeCell ref="F19:F21"/>
    <mergeCell ref="A22:A25"/>
    <mergeCell ref="C22:C25"/>
    <mergeCell ref="D22:D25"/>
    <mergeCell ref="E22:E25"/>
    <mergeCell ref="F22:F25"/>
    <mergeCell ref="B30:E30"/>
    <mergeCell ref="A8:C8"/>
    <mergeCell ref="A19:A21"/>
    <mergeCell ref="C19:C21"/>
    <mergeCell ref="D19:D21"/>
    <mergeCell ref="E19:E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DA09-D941-4789-96E3-2F7C9C4E6017}">
  <sheetPr>
    <tabColor rgb="FFFFFF00"/>
  </sheetPr>
  <dimension ref="A2:S12"/>
  <sheetViews>
    <sheetView topLeftCell="A5" workbookViewId="0">
      <selection activeCell="L6" sqref="L6"/>
    </sheetView>
  </sheetViews>
  <sheetFormatPr defaultColWidth="9.140625" defaultRowHeight="15" x14ac:dyDescent="0.25"/>
  <cols>
    <col min="1" max="1" width="10" style="1" customWidth="1"/>
    <col min="2" max="2" width="18.85546875" style="1" customWidth="1"/>
    <col min="3" max="3" width="9.140625" style="1"/>
    <col min="4" max="4" width="72.7109375" style="1" customWidth="1"/>
    <col min="5" max="10" width="9.140625" style="1" customWidth="1"/>
    <col min="11" max="11" width="12.140625" style="1" customWidth="1"/>
    <col min="12" max="14" width="9.140625" style="1"/>
    <col min="15" max="15" width="9.140625" style="1" customWidth="1"/>
    <col min="16" max="16" width="21.28515625" style="1" customWidth="1"/>
    <col min="17" max="17" width="15.7109375" style="1" customWidth="1"/>
    <col min="18" max="18" width="16" style="1" customWidth="1"/>
    <col min="19" max="19" width="31.42578125" style="1" customWidth="1"/>
    <col min="20" max="16384" width="9.140625" style="1"/>
  </cols>
  <sheetData>
    <row r="2" spans="1:19" ht="90" x14ac:dyDescent="0.25">
      <c r="A2" s="28" t="s">
        <v>78</v>
      </c>
      <c r="B2" s="27" t="s">
        <v>79</v>
      </c>
      <c r="C2" s="28" t="s">
        <v>80</v>
      </c>
      <c r="D2" s="29" t="s">
        <v>81</v>
      </c>
      <c r="E2" s="30" t="s">
        <v>96</v>
      </c>
      <c r="F2" s="30" t="s">
        <v>97</v>
      </c>
      <c r="G2" s="30" t="s">
        <v>98</v>
      </c>
      <c r="H2" s="30" t="s">
        <v>99</v>
      </c>
      <c r="I2" s="30" t="s">
        <v>100</v>
      </c>
      <c r="J2" s="30" t="s">
        <v>101</v>
      </c>
      <c r="K2" s="30" t="s">
        <v>102</v>
      </c>
      <c r="L2" s="31" t="s">
        <v>82</v>
      </c>
      <c r="M2" s="32" t="s">
        <v>83</v>
      </c>
      <c r="N2" s="32" t="s">
        <v>38</v>
      </c>
      <c r="O2" s="33" t="s">
        <v>84</v>
      </c>
      <c r="P2" s="33" t="s">
        <v>85</v>
      </c>
      <c r="Q2" s="33" t="s">
        <v>86</v>
      </c>
      <c r="R2" s="34" t="s">
        <v>87</v>
      </c>
      <c r="S2" s="33" t="s">
        <v>103</v>
      </c>
    </row>
    <row r="3" spans="1:19" x14ac:dyDescent="0.25">
      <c r="A3" s="35" t="s">
        <v>104</v>
      </c>
      <c r="B3" s="35" t="s">
        <v>105</v>
      </c>
      <c r="C3" s="26" t="s">
        <v>88</v>
      </c>
      <c r="D3" s="25" t="s">
        <v>89</v>
      </c>
      <c r="E3" s="26">
        <v>1</v>
      </c>
      <c r="F3" s="26">
        <v>0</v>
      </c>
      <c r="G3" s="26">
        <v>0</v>
      </c>
      <c r="H3" s="26">
        <v>0</v>
      </c>
      <c r="I3" s="26">
        <v>1</v>
      </c>
      <c r="J3" s="26">
        <v>1</v>
      </c>
      <c r="K3" s="26">
        <v>1</v>
      </c>
      <c r="L3" s="36">
        <f t="shared" ref="L3:L11" si="0">SUM(E3:K3)</f>
        <v>4</v>
      </c>
      <c r="M3" s="37">
        <f>L3*2</f>
        <v>8</v>
      </c>
      <c r="N3" s="37">
        <f>M3/2</f>
        <v>4</v>
      </c>
      <c r="O3" s="38">
        <f>Variables!C$14</f>
        <v>55.56</v>
      </c>
      <c r="P3" s="38">
        <f>M3*O3</f>
        <v>444.48</v>
      </c>
      <c r="Q3" s="38">
        <f>P3*B12/100</f>
        <v>177.792</v>
      </c>
      <c r="R3" s="36">
        <f>P3+Q3</f>
        <v>622.27200000000005</v>
      </c>
      <c r="S3" s="38">
        <v>600</v>
      </c>
    </row>
    <row r="4" spans="1:19" ht="135" x14ac:dyDescent="0.25">
      <c r="A4" s="35" t="s">
        <v>104</v>
      </c>
      <c r="B4" s="35" t="s">
        <v>105</v>
      </c>
      <c r="C4" s="26" t="s">
        <v>90</v>
      </c>
      <c r="D4" s="25" t="s">
        <v>106</v>
      </c>
      <c r="E4" s="26">
        <v>1</v>
      </c>
      <c r="F4" s="26">
        <v>1</v>
      </c>
      <c r="G4" s="26">
        <v>1</v>
      </c>
      <c r="H4" s="26">
        <v>1</v>
      </c>
      <c r="I4" s="26">
        <v>1</v>
      </c>
      <c r="J4" s="26">
        <v>1</v>
      </c>
      <c r="K4" s="26">
        <v>0.5</v>
      </c>
      <c r="L4" s="36">
        <f t="shared" si="0"/>
        <v>6.5</v>
      </c>
      <c r="M4" s="37">
        <f>L4*2</f>
        <v>13</v>
      </c>
      <c r="N4" s="37">
        <f t="shared" ref="N4:N11" si="1">M4/2</f>
        <v>6.5</v>
      </c>
      <c r="O4" s="38">
        <f>Variables!C$14</f>
        <v>55.56</v>
      </c>
      <c r="P4" s="38">
        <f t="shared" ref="P4:P11" si="2">M4*O4</f>
        <v>722.28</v>
      </c>
      <c r="Q4" s="38">
        <f>P4*B12/100</f>
        <v>288.91199999999998</v>
      </c>
      <c r="R4" s="36">
        <f t="shared" ref="R4:R11" si="3">P4+Q4</f>
        <v>1011.192</v>
      </c>
      <c r="S4" s="38">
        <v>1000</v>
      </c>
    </row>
    <row r="5" spans="1:19" ht="195" x14ac:dyDescent="0.25">
      <c r="A5" s="35" t="s">
        <v>104</v>
      </c>
      <c r="B5" s="35" t="s">
        <v>105</v>
      </c>
      <c r="C5" s="26" t="s">
        <v>91</v>
      </c>
      <c r="D5" s="25" t="s">
        <v>107</v>
      </c>
      <c r="E5" s="26">
        <v>2</v>
      </c>
      <c r="F5" s="26">
        <v>5</v>
      </c>
      <c r="G5" s="26">
        <v>5</v>
      </c>
      <c r="H5" s="26">
        <v>3</v>
      </c>
      <c r="I5" s="26">
        <v>2</v>
      </c>
      <c r="J5" s="26">
        <v>2</v>
      </c>
      <c r="K5" s="26">
        <v>2</v>
      </c>
      <c r="L5" s="36">
        <f t="shared" si="0"/>
        <v>21</v>
      </c>
      <c r="M5" s="37">
        <f t="shared" ref="M5:M11" si="4">L5*2</f>
        <v>42</v>
      </c>
      <c r="N5" s="37">
        <f t="shared" si="1"/>
        <v>21</v>
      </c>
      <c r="O5" s="38">
        <f>Variables!C$14</f>
        <v>55.56</v>
      </c>
      <c r="P5" s="38">
        <f t="shared" si="2"/>
        <v>2333.52</v>
      </c>
      <c r="Q5" s="38">
        <f>P5*B12/100</f>
        <v>933.40800000000002</v>
      </c>
      <c r="R5" s="36">
        <f t="shared" si="3"/>
        <v>3266.9279999999999</v>
      </c>
      <c r="S5" s="38" t="s">
        <v>108</v>
      </c>
    </row>
    <row r="6" spans="1:19" ht="195" x14ac:dyDescent="0.25">
      <c r="A6" s="35" t="s">
        <v>104</v>
      </c>
      <c r="B6" s="35" t="s">
        <v>105</v>
      </c>
      <c r="C6" s="26" t="s">
        <v>92</v>
      </c>
      <c r="D6" s="55" t="s">
        <v>109</v>
      </c>
      <c r="E6" s="26">
        <v>3</v>
      </c>
      <c r="F6" s="26">
        <v>7.5</v>
      </c>
      <c r="G6" s="26">
        <v>7.5</v>
      </c>
      <c r="H6" s="26">
        <v>5</v>
      </c>
      <c r="I6" s="57">
        <v>3</v>
      </c>
      <c r="J6" s="26">
        <v>3</v>
      </c>
      <c r="K6" s="26">
        <v>2</v>
      </c>
      <c r="L6" s="36">
        <f t="shared" si="0"/>
        <v>31</v>
      </c>
      <c r="M6" s="37">
        <f t="shared" si="4"/>
        <v>62</v>
      </c>
      <c r="N6" s="37">
        <f t="shared" si="1"/>
        <v>31</v>
      </c>
      <c r="O6" s="38">
        <f>Variables!C$14</f>
        <v>55.56</v>
      </c>
      <c r="P6" s="38">
        <f t="shared" si="2"/>
        <v>3444.7200000000003</v>
      </c>
      <c r="Q6" s="38">
        <f>P6*B12/100</f>
        <v>1377.8880000000001</v>
      </c>
      <c r="R6" s="36">
        <f t="shared" si="3"/>
        <v>4822.6080000000002</v>
      </c>
      <c r="S6" s="38">
        <v>4500</v>
      </c>
    </row>
    <row r="7" spans="1:19" ht="210" x14ac:dyDescent="0.25">
      <c r="A7" s="35" t="s">
        <v>104</v>
      </c>
      <c r="B7" s="35" t="s">
        <v>105</v>
      </c>
      <c r="C7" s="26" t="s">
        <v>93</v>
      </c>
      <c r="D7" s="25" t="s">
        <v>110</v>
      </c>
      <c r="E7" s="26">
        <v>5</v>
      </c>
      <c r="F7" s="26">
        <v>10</v>
      </c>
      <c r="G7" s="26">
        <v>10</v>
      </c>
      <c r="H7" s="26">
        <v>6</v>
      </c>
      <c r="I7" s="57">
        <v>4</v>
      </c>
      <c r="J7" s="26">
        <v>4</v>
      </c>
      <c r="K7" s="26">
        <v>4</v>
      </c>
      <c r="L7" s="36">
        <f t="shared" si="0"/>
        <v>43</v>
      </c>
      <c r="M7" s="37">
        <f t="shared" si="4"/>
        <v>86</v>
      </c>
      <c r="N7" s="37">
        <f t="shared" si="1"/>
        <v>43</v>
      </c>
      <c r="O7" s="38">
        <f>Variables!C$14</f>
        <v>55.56</v>
      </c>
      <c r="P7" s="38">
        <f t="shared" si="2"/>
        <v>4778.16</v>
      </c>
      <c r="Q7" s="38">
        <f>P7*B12/100</f>
        <v>1911.2639999999999</v>
      </c>
      <c r="R7" s="36">
        <f t="shared" si="3"/>
        <v>6689.424</v>
      </c>
      <c r="S7" s="38">
        <v>6000</v>
      </c>
    </row>
    <row r="8" spans="1:19" ht="195" x14ac:dyDescent="0.25">
      <c r="A8" s="35" t="s">
        <v>104</v>
      </c>
      <c r="B8" s="35" t="s">
        <v>105</v>
      </c>
      <c r="C8" s="26" t="s">
        <v>94</v>
      </c>
      <c r="D8" s="25" t="s">
        <v>111</v>
      </c>
      <c r="E8" s="26">
        <v>7.5</v>
      </c>
      <c r="F8" s="26">
        <v>12.5</v>
      </c>
      <c r="G8" s="26">
        <v>12.5</v>
      </c>
      <c r="H8" s="26">
        <v>7.5</v>
      </c>
      <c r="I8" s="26">
        <v>4.5</v>
      </c>
      <c r="J8" s="26">
        <v>4.5</v>
      </c>
      <c r="K8" s="57">
        <v>5</v>
      </c>
      <c r="L8" s="36">
        <f t="shared" si="0"/>
        <v>54</v>
      </c>
      <c r="M8" s="37">
        <f t="shared" si="4"/>
        <v>108</v>
      </c>
      <c r="N8" s="37">
        <f t="shared" si="1"/>
        <v>54</v>
      </c>
      <c r="O8" s="38">
        <f>Variables!C$14</f>
        <v>55.56</v>
      </c>
      <c r="P8" s="38">
        <f t="shared" si="2"/>
        <v>6000.4800000000005</v>
      </c>
      <c r="Q8" s="38">
        <f>P8*B12/100</f>
        <v>2400.192</v>
      </c>
      <c r="R8" s="36">
        <f>P8+Q8</f>
        <v>8400.6720000000005</v>
      </c>
      <c r="S8" s="38" t="s">
        <v>112</v>
      </c>
    </row>
    <row r="9" spans="1:19" ht="195" x14ac:dyDescent="0.25">
      <c r="A9" s="35" t="s">
        <v>104</v>
      </c>
      <c r="B9" s="35" t="s">
        <v>105</v>
      </c>
      <c r="C9" s="26" t="s">
        <v>113</v>
      </c>
      <c r="D9" s="25" t="s">
        <v>114</v>
      </c>
      <c r="E9" s="26">
        <v>10</v>
      </c>
      <c r="F9" s="26">
        <v>15</v>
      </c>
      <c r="G9" s="26">
        <v>15</v>
      </c>
      <c r="H9" s="26">
        <v>12</v>
      </c>
      <c r="I9" s="26">
        <v>6</v>
      </c>
      <c r="J9" s="26">
        <v>6</v>
      </c>
      <c r="K9" s="26">
        <v>6</v>
      </c>
      <c r="L9" s="36">
        <f t="shared" si="0"/>
        <v>70</v>
      </c>
      <c r="M9" s="37">
        <f t="shared" si="4"/>
        <v>140</v>
      </c>
      <c r="N9" s="37">
        <f t="shared" si="1"/>
        <v>70</v>
      </c>
      <c r="O9" s="38">
        <f>Variables!C$14</f>
        <v>55.56</v>
      </c>
      <c r="P9" s="38">
        <f t="shared" si="2"/>
        <v>7778.4000000000005</v>
      </c>
      <c r="Q9" s="38">
        <f>P9*B12/100</f>
        <v>3111.36</v>
      </c>
      <c r="R9" s="36">
        <f t="shared" si="3"/>
        <v>10889.76</v>
      </c>
      <c r="S9" s="38">
        <v>10000</v>
      </c>
    </row>
    <row r="10" spans="1:19" ht="165" x14ac:dyDescent="0.25">
      <c r="A10" s="35" t="s">
        <v>104</v>
      </c>
      <c r="B10" s="35" t="s">
        <v>105</v>
      </c>
      <c r="C10" s="26" t="s">
        <v>92</v>
      </c>
      <c r="D10" s="56" t="s">
        <v>115</v>
      </c>
      <c r="E10" s="26">
        <v>3</v>
      </c>
      <c r="F10" s="26">
        <v>7.5</v>
      </c>
      <c r="G10" s="26">
        <v>7.5</v>
      </c>
      <c r="H10" s="26">
        <v>5</v>
      </c>
      <c r="I10" s="57">
        <v>3</v>
      </c>
      <c r="J10" s="26">
        <v>3</v>
      </c>
      <c r="K10" s="26">
        <v>3</v>
      </c>
      <c r="L10" s="36">
        <f t="shared" si="0"/>
        <v>32</v>
      </c>
      <c r="M10" s="37">
        <f t="shared" si="4"/>
        <v>64</v>
      </c>
      <c r="N10" s="37">
        <f t="shared" si="1"/>
        <v>32</v>
      </c>
      <c r="O10" s="38">
        <f>Variables!C$14</f>
        <v>55.56</v>
      </c>
      <c r="P10" s="38">
        <f t="shared" si="2"/>
        <v>3555.84</v>
      </c>
      <c r="Q10" s="38">
        <f>P10*B12/100</f>
        <v>1422.336</v>
      </c>
      <c r="R10" s="36">
        <f t="shared" si="3"/>
        <v>4978.1760000000004</v>
      </c>
      <c r="S10" s="38">
        <v>4500</v>
      </c>
    </row>
    <row r="11" spans="1:19" ht="135" x14ac:dyDescent="0.25">
      <c r="A11" s="35" t="s">
        <v>104</v>
      </c>
      <c r="B11" s="35" t="s">
        <v>105</v>
      </c>
      <c r="C11" s="26" t="s">
        <v>90</v>
      </c>
      <c r="D11" s="56" t="s">
        <v>116</v>
      </c>
      <c r="E11" s="26">
        <v>1</v>
      </c>
      <c r="F11" s="26">
        <v>0.5</v>
      </c>
      <c r="G11" s="26">
        <v>1</v>
      </c>
      <c r="H11" s="26">
        <v>1.5</v>
      </c>
      <c r="I11" s="26">
        <v>1</v>
      </c>
      <c r="J11" s="26">
        <v>1</v>
      </c>
      <c r="K11" s="26">
        <v>0.5</v>
      </c>
      <c r="L11" s="36">
        <f t="shared" si="0"/>
        <v>6.5</v>
      </c>
      <c r="M11" s="37">
        <f t="shared" si="4"/>
        <v>13</v>
      </c>
      <c r="N11" s="37">
        <f t="shared" si="1"/>
        <v>6.5</v>
      </c>
      <c r="O11" s="38">
        <f>Variables!C$14</f>
        <v>55.56</v>
      </c>
      <c r="P11" s="38">
        <f t="shared" si="2"/>
        <v>722.28</v>
      </c>
      <c r="Q11" s="38">
        <f>P11*B12/100</f>
        <v>288.91199999999998</v>
      </c>
      <c r="R11" s="36">
        <f t="shared" si="3"/>
        <v>1011.192</v>
      </c>
      <c r="S11" s="38">
        <v>1000</v>
      </c>
    </row>
    <row r="12" spans="1:19" ht="30" x14ac:dyDescent="0.25">
      <c r="A12" s="35" t="s">
        <v>95</v>
      </c>
      <c r="B12" s="18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6B01-D37F-47B1-BF1A-CF8F16471CF5}">
  <sheetPr>
    <tabColor rgb="FFFFFF00"/>
  </sheetPr>
  <dimension ref="A1:P15"/>
  <sheetViews>
    <sheetView tabSelected="1" topLeftCell="D1" workbookViewId="0">
      <selection activeCell="N3" sqref="N3"/>
    </sheetView>
  </sheetViews>
  <sheetFormatPr defaultColWidth="9.140625" defaultRowHeight="15" x14ac:dyDescent="0.25"/>
  <cols>
    <col min="1" max="1" width="11.85546875" style="1" customWidth="1"/>
    <col min="2" max="2" width="9.28515625" style="1" bestFit="1" customWidth="1"/>
    <col min="3" max="3" width="9.140625" style="1"/>
    <col min="4" max="4" width="44.7109375" style="1" customWidth="1"/>
    <col min="5" max="5" width="17" style="1" customWidth="1"/>
    <col min="6" max="6" width="12.140625" style="1" customWidth="1"/>
    <col min="7" max="7" width="14" style="1" customWidth="1"/>
    <col min="8" max="8" width="13.5703125" style="1" customWidth="1"/>
    <col min="9" max="11" width="9.28515625" style="1" bestFit="1" customWidth="1"/>
    <col min="12" max="12" width="9.28515625" style="1" customWidth="1"/>
    <col min="13" max="14" width="10.7109375" style="1" bestFit="1" customWidth="1"/>
    <col min="15" max="15" width="9.28515625" style="1" bestFit="1" customWidth="1"/>
    <col min="16" max="16" width="10.7109375" style="1" bestFit="1" customWidth="1"/>
    <col min="17" max="16384" width="9.140625" style="1"/>
  </cols>
  <sheetData>
    <row r="1" spans="1:16" ht="90" x14ac:dyDescent="0.25">
      <c r="A1" s="28" t="s">
        <v>78</v>
      </c>
      <c r="B1" s="27" t="s">
        <v>79</v>
      </c>
      <c r="C1" s="28" t="s">
        <v>80</v>
      </c>
      <c r="D1" s="29" t="s">
        <v>81</v>
      </c>
      <c r="E1" s="30" t="s">
        <v>96</v>
      </c>
      <c r="F1" s="30" t="s">
        <v>117</v>
      </c>
      <c r="G1" s="30" t="s">
        <v>118</v>
      </c>
      <c r="H1" s="30" t="s">
        <v>102</v>
      </c>
      <c r="I1" s="31" t="s">
        <v>82</v>
      </c>
      <c r="J1" s="32" t="s">
        <v>83</v>
      </c>
      <c r="K1" s="32" t="s">
        <v>38</v>
      </c>
      <c r="L1" s="33" t="s">
        <v>84</v>
      </c>
      <c r="M1" s="33" t="s">
        <v>85</v>
      </c>
      <c r="N1" s="33" t="s">
        <v>86</v>
      </c>
      <c r="O1" s="34" t="s">
        <v>87</v>
      </c>
      <c r="P1" s="33" t="s">
        <v>103</v>
      </c>
    </row>
    <row r="2" spans="1:16" x14ac:dyDescent="0.25">
      <c r="A2" s="35" t="s">
        <v>104</v>
      </c>
      <c r="B2" s="35" t="s">
        <v>119</v>
      </c>
      <c r="C2" s="35" t="s">
        <v>88</v>
      </c>
      <c r="D2" s="39" t="s">
        <v>89</v>
      </c>
      <c r="E2" s="26">
        <v>1</v>
      </c>
      <c r="F2" s="26">
        <v>0</v>
      </c>
      <c r="G2" s="26">
        <v>0</v>
      </c>
      <c r="H2" s="26">
        <v>0.75</v>
      </c>
      <c r="I2" s="36">
        <f t="shared" ref="I2:I4" si="0">SUM(E2:H2)</f>
        <v>1.75</v>
      </c>
      <c r="J2" s="37">
        <f>I2*2</f>
        <v>3.5</v>
      </c>
      <c r="K2" s="37">
        <f t="shared" ref="K2:K4" si="1">J2/2</f>
        <v>1.75</v>
      </c>
      <c r="L2" s="38">
        <f>Variables!C3</f>
        <v>144</v>
      </c>
      <c r="M2" s="38">
        <f>I2*L2</f>
        <v>252</v>
      </c>
      <c r="N2" s="38">
        <f>M2*B15/100</f>
        <v>100.8</v>
      </c>
      <c r="O2" s="36">
        <f t="shared" ref="O2:O5" si="2">M2+N2</f>
        <v>352.8</v>
      </c>
      <c r="P2" s="38">
        <v>300</v>
      </c>
    </row>
    <row r="3" spans="1:16" s="45" customFormat="1" x14ac:dyDescent="0.25">
      <c r="A3" s="40" t="s">
        <v>104</v>
      </c>
      <c r="B3" s="40" t="s">
        <v>119</v>
      </c>
      <c r="C3" s="40" t="s">
        <v>90</v>
      </c>
      <c r="D3" s="41" t="s">
        <v>120</v>
      </c>
      <c r="E3" s="40">
        <v>1</v>
      </c>
      <c r="F3" s="40">
        <v>1</v>
      </c>
      <c r="G3" s="40">
        <v>1</v>
      </c>
      <c r="H3" s="40">
        <v>1</v>
      </c>
      <c r="I3" s="42">
        <f t="shared" si="0"/>
        <v>4</v>
      </c>
      <c r="J3" s="43">
        <f t="shared" ref="J3:J4" si="3">I3*2</f>
        <v>8</v>
      </c>
      <c r="K3" s="43">
        <f t="shared" si="1"/>
        <v>4</v>
      </c>
      <c r="L3" s="44">
        <f>Variables!C$14</f>
        <v>55.56</v>
      </c>
      <c r="M3" s="44">
        <f t="shared" ref="M3:M4" si="4">J3*L3</f>
        <v>444.48</v>
      </c>
      <c r="N3" s="44">
        <f>M3*B15/100</f>
        <v>177.792</v>
      </c>
      <c r="O3" s="42">
        <f t="shared" si="2"/>
        <v>622.27200000000005</v>
      </c>
      <c r="P3" s="44">
        <v>600</v>
      </c>
    </row>
    <row r="4" spans="1:16" ht="135" x14ac:dyDescent="0.25">
      <c r="A4" s="35" t="s">
        <v>104</v>
      </c>
      <c r="B4" s="35" t="s">
        <v>119</v>
      </c>
      <c r="C4" s="35" t="s">
        <v>90</v>
      </c>
      <c r="D4" s="46" t="s">
        <v>121</v>
      </c>
      <c r="E4" s="18">
        <v>0.5</v>
      </c>
      <c r="F4" s="18">
        <v>0.5</v>
      </c>
      <c r="G4" s="18">
        <v>0.5</v>
      </c>
      <c r="H4" s="18">
        <v>0.5</v>
      </c>
      <c r="I4" s="36">
        <f t="shared" si="0"/>
        <v>2</v>
      </c>
      <c r="J4" s="37">
        <f t="shared" si="3"/>
        <v>4</v>
      </c>
      <c r="K4" s="37">
        <f t="shared" si="1"/>
        <v>2</v>
      </c>
      <c r="L4" s="38">
        <f>Variables!C$14</f>
        <v>55.56</v>
      </c>
      <c r="M4" s="38">
        <f t="shared" si="4"/>
        <v>222.24</v>
      </c>
      <c r="N4" s="38">
        <f>M4*B15/100</f>
        <v>88.896000000000001</v>
      </c>
      <c r="O4" s="36">
        <f t="shared" si="2"/>
        <v>311.13600000000002</v>
      </c>
      <c r="P4" s="38" t="s">
        <v>122</v>
      </c>
    </row>
    <row r="5" spans="1:16" ht="120" x14ac:dyDescent="0.25">
      <c r="A5" s="35" t="s">
        <v>104</v>
      </c>
      <c r="B5" s="35" t="s">
        <v>119</v>
      </c>
      <c r="C5" s="35" t="s">
        <v>91</v>
      </c>
      <c r="D5" s="39" t="s">
        <v>123</v>
      </c>
      <c r="E5" s="18">
        <v>1</v>
      </c>
      <c r="F5" s="18">
        <v>1</v>
      </c>
      <c r="G5" s="18">
        <v>1</v>
      </c>
      <c r="H5" s="18">
        <v>1</v>
      </c>
      <c r="I5" s="36">
        <f t="shared" ref="I5:I14" si="5">SUM(E5:H5)</f>
        <v>4</v>
      </c>
      <c r="J5" s="37">
        <v>8</v>
      </c>
      <c r="K5" s="37">
        <f t="shared" ref="K5:K14" si="6">J5/2</f>
        <v>4</v>
      </c>
      <c r="L5" s="38">
        <f>Variables!C$14</f>
        <v>55.56</v>
      </c>
      <c r="M5" s="38">
        <f t="shared" ref="M5:M14" si="7">J5*L5</f>
        <v>444.48</v>
      </c>
      <c r="N5" s="38">
        <f>M5*B15/100</f>
        <v>177.792</v>
      </c>
      <c r="O5" s="36">
        <f t="shared" si="2"/>
        <v>622.27200000000005</v>
      </c>
      <c r="P5" s="38">
        <v>300</v>
      </c>
    </row>
    <row r="6" spans="1:16" ht="120" x14ac:dyDescent="0.25">
      <c r="A6" s="35" t="s">
        <v>104</v>
      </c>
      <c r="B6" s="35" t="s">
        <v>119</v>
      </c>
      <c r="C6" s="35" t="s">
        <v>92</v>
      </c>
      <c r="D6" s="39" t="s">
        <v>124</v>
      </c>
      <c r="E6" s="18">
        <v>2</v>
      </c>
      <c r="F6" s="18">
        <v>2</v>
      </c>
      <c r="G6" s="18">
        <v>2</v>
      </c>
      <c r="H6" s="58">
        <v>3</v>
      </c>
      <c r="I6" s="36">
        <f t="shared" si="5"/>
        <v>9</v>
      </c>
      <c r="J6" s="37">
        <f t="shared" ref="J6:J14" si="8">I6*2</f>
        <v>18</v>
      </c>
      <c r="K6" s="37">
        <f t="shared" si="6"/>
        <v>9</v>
      </c>
      <c r="L6" s="38">
        <f>Variables!C$14</f>
        <v>55.56</v>
      </c>
      <c r="M6" s="38">
        <f t="shared" si="7"/>
        <v>1000.08</v>
      </c>
      <c r="N6" s="38">
        <f>M6*B15/100</f>
        <v>400.03200000000004</v>
      </c>
      <c r="O6" s="36">
        <f t="shared" ref="O6:O13" si="9">M6+N6</f>
        <v>1400.1120000000001</v>
      </c>
      <c r="P6" s="38">
        <v>600</v>
      </c>
    </row>
    <row r="7" spans="1:16" ht="120" x14ac:dyDescent="0.25">
      <c r="A7" s="35" t="s">
        <v>104</v>
      </c>
      <c r="B7" s="35" t="s">
        <v>119</v>
      </c>
      <c r="C7" s="35" t="s">
        <v>93</v>
      </c>
      <c r="D7" s="39" t="s">
        <v>125</v>
      </c>
      <c r="E7" s="18">
        <v>3</v>
      </c>
      <c r="F7" s="18">
        <v>3</v>
      </c>
      <c r="G7" s="18">
        <v>3</v>
      </c>
      <c r="H7" s="58">
        <v>4</v>
      </c>
      <c r="I7" s="36">
        <f t="shared" si="5"/>
        <v>13</v>
      </c>
      <c r="J7" s="37">
        <f t="shared" si="8"/>
        <v>26</v>
      </c>
      <c r="K7" s="37">
        <f t="shared" si="6"/>
        <v>13</v>
      </c>
      <c r="L7" s="38">
        <f>Variables!C$14</f>
        <v>55.56</v>
      </c>
      <c r="M7" s="38">
        <f t="shared" si="7"/>
        <v>1444.56</v>
      </c>
      <c r="N7" s="38">
        <f>M7*B15/100</f>
        <v>577.82399999999996</v>
      </c>
      <c r="O7" s="36">
        <f t="shared" si="9"/>
        <v>2022.384</v>
      </c>
      <c r="P7" s="38">
        <v>900</v>
      </c>
    </row>
    <row r="8" spans="1:16" ht="120" x14ac:dyDescent="0.25">
      <c r="A8" s="35" t="s">
        <v>104</v>
      </c>
      <c r="B8" s="35" t="s">
        <v>119</v>
      </c>
      <c r="C8" s="35" t="s">
        <v>94</v>
      </c>
      <c r="D8" s="39" t="s">
        <v>126</v>
      </c>
      <c r="E8" s="18">
        <v>4</v>
      </c>
      <c r="F8" s="18">
        <v>4</v>
      </c>
      <c r="G8" s="18">
        <v>4</v>
      </c>
      <c r="H8" s="18">
        <v>4</v>
      </c>
      <c r="I8" s="36">
        <f t="shared" si="5"/>
        <v>16</v>
      </c>
      <c r="J8" s="37">
        <f t="shared" si="8"/>
        <v>32</v>
      </c>
      <c r="K8" s="37">
        <f t="shared" si="6"/>
        <v>16</v>
      </c>
      <c r="L8" s="38">
        <f>Variables!C$14</f>
        <v>55.56</v>
      </c>
      <c r="M8" s="38">
        <f t="shared" si="7"/>
        <v>1777.92</v>
      </c>
      <c r="N8" s="38">
        <f>M8*B15/100</f>
        <v>711.16800000000001</v>
      </c>
      <c r="O8" s="36">
        <f t="shared" si="9"/>
        <v>2489.0880000000002</v>
      </c>
      <c r="P8" s="38">
        <v>1200</v>
      </c>
    </row>
    <row r="9" spans="1:16" ht="120" x14ac:dyDescent="0.25">
      <c r="A9" s="35" t="s">
        <v>104</v>
      </c>
      <c r="B9" s="35" t="s">
        <v>119</v>
      </c>
      <c r="C9" s="35" t="s">
        <v>92</v>
      </c>
      <c r="D9" s="39" t="s">
        <v>127</v>
      </c>
      <c r="E9" s="18">
        <v>1.5</v>
      </c>
      <c r="F9" s="18">
        <v>2</v>
      </c>
      <c r="G9" s="18">
        <v>2</v>
      </c>
      <c r="H9" s="58">
        <v>1.5</v>
      </c>
      <c r="I9" s="36">
        <f t="shared" si="5"/>
        <v>7</v>
      </c>
      <c r="J9" s="37">
        <f t="shared" si="8"/>
        <v>14</v>
      </c>
      <c r="K9" s="37">
        <f t="shared" si="6"/>
        <v>7</v>
      </c>
      <c r="L9" s="38">
        <f>Variables!C$14</f>
        <v>55.56</v>
      </c>
      <c r="M9" s="38">
        <f t="shared" si="7"/>
        <v>777.84</v>
      </c>
      <c r="N9" s="38">
        <f>M9*B15/100</f>
        <v>311.13600000000002</v>
      </c>
      <c r="O9" s="36">
        <f t="shared" si="9"/>
        <v>1088.9760000000001</v>
      </c>
      <c r="P9" s="38" t="s">
        <v>122</v>
      </c>
    </row>
    <row r="10" spans="1:16" ht="120" x14ac:dyDescent="0.25">
      <c r="A10" s="35" t="s">
        <v>104</v>
      </c>
      <c r="B10" s="35" t="s">
        <v>119</v>
      </c>
      <c r="C10" s="35" t="s">
        <v>93</v>
      </c>
      <c r="D10" s="39" t="s">
        <v>128</v>
      </c>
      <c r="E10" s="18">
        <v>3</v>
      </c>
      <c r="F10" s="18">
        <v>4</v>
      </c>
      <c r="G10" s="18">
        <v>4</v>
      </c>
      <c r="H10" s="58">
        <v>2</v>
      </c>
      <c r="I10" s="36">
        <f t="shared" si="5"/>
        <v>13</v>
      </c>
      <c r="J10" s="37">
        <f t="shared" si="8"/>
        <v>26</v>
      </c>
      <c r="K10" s="37">
        <f t="shared" si="6"/>
        <v>13</v>
      </c>
      <c r="L10" s="38">
        <f>Variables!C$14</f>
        <v>55.56</v>
      </c>
      <c r="M10" s="38">
        <f t="shared" si="7"/>
        <v>1444.56</v>
      </c>
      <c r="N10" s="38">
        <f>M10*B15/100</f>
        <v>577.82399999999996</v>
      </c>
      <c r="O10" s="36">
        <f>M10+N10</f>
        <v>2022.384</v>
      </c>
      <c r="P10" s="38">
        <v>800</v>
      </c>
    </row>
    <row r="11" spans="1:16" ht="120" x14ac:dyDescent="0.25">
      <c r="A11" s="35" t="s">
        <v>104</v>
      </c>
      <c r="B11" s="35" t="s">
        <v>119</v>
      </c>
      <c r="C11" s="35" t="s">
        <v>94</v>
      </c>
      <c r="D11" s="39" t="s">
        <v>129</v>
      </c>
      <c r="E11" s="18">
        <v>6</v>
      </c>
      <c r="F11" s="18">
        <v>8</v>
      </c>
      <c r="G11" s="18">
        <v>8</v>
      </c>
      <c r="H11" s="18">
        <v>2</v>
      </c>
      <c r="I11" s="36">
        <f t="shared" si="5"/>
        <v>24</v>
      </c>
      <c r="J11" s="37">
        <f t="shared" si="8"/>
        <v>48</v>
      </c>
      <c r="K11" s="37">
        <f t="shared" si="6"/>
        <v>24</v>
      </c>
      <c r="L11" s="38">
        <f>Variables!C$14</f>
        <v>55.56</v>
      </c>
      <c r="M11" s="38">
        <f t="shared" si="7"/>
        <v>2666.88</v>
      </c>
      <c r="N11" s="38">
        <f>M11*B15/100</f>
        <v>1066.7520000000002</v>
      </c>
      <c r="O11" s="36">
        <f>M11+N11</f>
        <v>3733.6320000000005</v>
      </c>
      <c r="P11" s="38">
        <v>1600</v>
      </c>
    </row>
    <row r="12" spans="1:16" ht="120" x14ac:dyDescent="0.25">
      <c r="A12" s="35" t="s">
        <v>104</v>
      </c>
      <c r="B12" s="35" t="s">
        <v>119</v>
      </c>
      <c r="C12" s="35" t="s">
        <v>113</v>
      </c>
      <c r="D12" s="39" t="s">
        <v>130</v>
      </c>
      <c r="E12" s="18">
        <v>9</v>
      </c>
      <c r="F12" s="18">
        <v>12</v>
      </c>
      <c r="G12" s="18">
        <v>12</v>
      </c>
      <c r="H12" s="18">
        <v>3</v>
      </c>
      <c r="I12" s="36">
        <f t="shared" si="5"/>
        <v>36</v>
      </c>
      <c r="J12" s="37">
        <f t="shared" si="8"/>
        <v>72</v>
      </c>
      <c r="K12" s="37">
        <f t="shared" si="6"/>
        <v>36</v>
      </c>
      <c r="L12" s="38">
        <f>Variables!C$14</f>
        <v>55.56</v>
      </c>
      <c r="M12" s="38">
        <f t="shared" si="7"/>
        <v>4000.32</v>
      </c>
      <c r="N12" s="38">
        <f>M12*B15/100</f>
        <v>1600.1280000000002</v>
      </c>
      <c r="O12" s="36">
        <f t="shared" si="9"/>
        <v>5600.4480000000003</v>
      </c>
      <c r="P12" s="38">
        <v>2400</v>
      </c>
    </row>
    <row r="13" spans="1:16" ht="120" x14ac:dyDescent="0.25">
      <c r="A13" s="35" t="s">
        <v>104</v>
      </c>
      <c r="B13" s="35" t="s">
        <v>119</v>
      </c>
      <c r="C13" s="35" t="s">
        <v>113</v>
      </c>
      <c r="D13" s="39" t="s">
        <v>131</v>
      </c>
      <c r="E13" s="18">
        <v>12</v>
      </c>
      <c r="F13" s="18">
        <v>16</v>
      </c>
      <c r="G13" s="18">
        <v>16</v>
      </c>
      <c r="H13" s="18">
        <v>4</v>
      </c>
      <c r="I13" s="36">
        <f t="shared" si="5"/>
        <v>48</v>
      </c>
      <c r="J13" s="37">
        <f t="shared" si="8"/>
        <v>96</v>
      </c>
      <c r="K13" s="37">
        <f t="shared" si="6"/>
        <v>48</v>
      </c>
      <c r="L13" s="38">
        <f>Variables!C$14</f>
        <v>55.56</v>
      </c>
      <c r="M13" s="38">
        <f t="shared" si="7"/>
        <v>5333.76</v>
      </c>
      <c r="N13" s="38">
        <f>M13*B15/100</f>
        <v>2133.5040000000004</v>
      </c>
      <c r="O13" s="36">
        <f t="shared" si="9"/>
        <v>7467.264000000001</v>
      </c>
      <c r="P13" s="38">
        <v>3200</v>
      </c>
    </row>
    <row r="14" spans="1:16" x14ac:dyDescent="0.25">
      <c r="A14" s="35" t="s">
        <v>104</v>
      </c>
      <c r="B14" s="35" t="s">
        <v>119</v>
      </c>
      <c r="C14" s="35" t="s">
        <v>90</v>
      </c>
      <c r="D14" s="39" t="s">
        <v>132</v>
      </c>
      <c r="E14" s="18">
        <v>5</v>
      </c>
      <c r="F14" s="18">
        <v>0.5</v>
      </c>
      <c r="G14" s="18">
        <v>2</v>
      </c>
      <c r="H14" s="18">
        <v>0.5</v>
      </c>
      <c r="I14" s="36">
        <f t="shared" si="5"/>
        <v>8</v>
      </c>
      <c r="J14" s="37">
        <f t="shared" si="8"/>
        <v>16</v>
      </c>
      <c r="K14" s="37">
        <f t="shared" si="6"/>
        <v>8</v>
      </c>
      <c r="L14" s="38">
        <f>Variables!C$14</f>
        <v>55.56</v>
      </c>
      <c r="M14" s="38">
        <f t="shared" si="7"/>
        <v>888.96</v>
      </c>
      <c r="N14" s="38">
        <f>M14*B15/100</f>
        <v>355.584</v>
      </c>
      <c r="O14" s="36">
        <f>M14+N14</f>
        <v>1244.5440000000001</v>
      </c>
      <c r="P14" s="38">
        <v>300</v>
      </c>
    </row>
    <row r="15" spans="1:16" x14ac:dyDescent="0.25">
      <c r="A15" s="35" t="s">
        <v>95</v>
      </c>
      <c r="B15" s="18">
        <v>40</v>
      </c>
      <c r="O15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8BF7-B5CA-48CA-A814-672DE4176D1F}">
  <sheetPr>
    <tabColor rgb="FFFFFF00"/>
  </sheetPr>
  <dimension ref="A1:P12"/>
  <sheetViews>
    <sheetView topLeftCell="A9" workbookViewId="0">
      <selection activeCell="C9" sqref="C9"/>
    </sheetView>
  </sheetViews>
  <sheetFormatPr defaultColWidth="9.140625" defaultRowHeight="15" x14ac:dyDescent="0.25"/>
  <cols>
    <col min="1" max="1" width="11.85546875" style="1" customWidth="1"/>
    <col min="2" max="3" width="9.140625" style="1"/>
    <col min="4" max="4" width="74.28515625" style="1" customWidth="1"/>
    <col min="5" max="5" width="13.42578125" style="1" customWidth="1"/>
    <col min="6" max="6" width="10.5703125" style="1" customWidth="1"/>
    <col min="7" max="7" width="14" style="1" customWidth="1"/>
    <col min="8" max="8" width="9.85546875" style="1" customWidth="1"/>
    <col min="9" max="11" width="9.140625" style="1"/>
    <col min="12" max="12" width="9.140625" style="1" customWidth="1"/>
    <col min="13" max="15" width="9.140625" style="1"/>
    <col min="16" max="16" width="11.140625" style="1" customWidth="1"/>
    <col min="17" max="16384" width="9.140625" style="1"/>
  </cols>
  <sheetData>
    <row r="1" spans="1:16" ht="60" x14ac:dyDescent="0.25">
      <c r="A1" s="28" t="s">
        <v>78</v>
      </c>
      <c r="B1" s="27" t="s">
        <v>79</v>
      </c>
      <c r="C1" s="28" t="s">
        <v>80</v>
      </c>
      <c r="D1" s="29" t="s">
        <v>81</v>
      </c>
      <c r="E1" s="30" t="s">
        <v>133</v>
      </c>
      <c r="F1" s="30" t="s">
        <v>134</v>
      </c>
      <c r="G1" s="30" t="s">
        <v>135</v>
      </c>
      <c r="H1" s="30" t="s">
        <v>136</v>
      </c>
      <c r="I1" s="31" t="s">
        <v>82</v>
      </c>
      <c r="J1" s="32" t="s">
        <v>83</v>
      </c>
      <c r="K1" s="32" t="s">
        <v>38</v>
      </c>
      <c r="L1" s="33" t="s">
        <v>84</v>
      </c>
      <c r="M1" s="33" t="s">
        <v>85</v>
      </c>
      <c r="N1" s="33" t="s">
        <v>86</v>
      </c>
      <c r="O1" s="34" t="s">
        <v>87</v>
      </c>
      <c r="P1" s="33" t="s">
        <v>103</v>
      </c>
    </row>
    <row r="2" spans="1:16" ht="105" x14ac:dyDescent="0.25">
      <c r="A2" s="35" t="s">
        <v>104</v>
      </c>
      <c r="B2" s="35" t="s">
        <v>137</v>
      </c>
      <c r="C2" s="35" t="s">
        <v>90</v>
      </c>
      <c r="D2" s="46" t="s">
        <v>138</v>
      </c>
      <c r="E2" s="18">
        <v>0.75</v>
      </c>
      <c r="F2" s="18">
        <v>0.75</v>
      </c>
      <c r="G2" s="18">
        <v>0.75</v>
      </c>
      <c r="H2" s="18">
        <v>0.75</v>
      </c>
      <c r="I2" s="36">
        <f t="shared" ref="I2:I11" si="0">SUM(E2:H2)</f>
        <v>3</v>
      </c>
      <c r="J2" s="37">
        <f t="shared" ref="J2:J11" si="1">I2*2</f>
        <v>6</v>
      </c>
      <c r="K2" s="37">
        <f t="shared" ref="K2:K11" si="2">J2/2</f>
        <v>3</v>
      </c>
      <c r="L2" s="38">
        <f>Variables!C$14</f>
        <v>55.56</v>
      </c>
      <c r="M2" s="38">
        <f t="shared" ref="M2:M11" si="3">J2*L2</f>
        <v>333.36</v>
      </c>
      <c r="N2" s="38">
        <f>M2*B12/100</f>
        <v>133.34400000000002</v>
      </c>
      <c r="O2" s="36">
        <f t="shared" ref="O2:O11" si="4">M2+N2</f>
        <v>466.70400000000006</v>
      </c>
      <c r="P2" s="38">
        <v>300</v>
      </c>
    </row>
    <row r="3" spans="1:16" ht="105" x14ac:dyDescent="0.25">
      <c r="A3" s="35" t="s">
        <v>104</v>
      </c>
      <c r="B3" s="35" t="s">
        <v>137</v>
      </c>
      <c r="C3" s="35" t="s">
        <v>91</v>
      </c>
      <c r="D3" s="47" t="s">
        <v>139</v>
      </c>
      <c r="E3" s="18">
        <v>1.25</v>
      </c>
      <c r="F3" s="18">
        <v>1.25</v>
      </c>
      <c r="G3" s="18">
        <v>1.25</v>
      </c>
      <c r="H3" s="18">
        <v>1.25</v>
      </c>
      <c r="I3" s="36">
        <f t="shared" si="0"/>
        <v>5</v>
      </c>
      <c r="J3" s="37">
        <f t="shared" si="1"/>
        <v>10</v>
      </c>
      <c r="K3" s="37">
        <f t="shared" si="2"/>
        <v>5</v>
      </c>
      <c r="L3" s="38">
        <f>Variables!C$14</f>
        <v>55.56</v>
      </c>
      <c r="M3" s="38">
        <f t="shared" si="3"/>
        <v>555.6</v>
      </c>
      <c r="N3" s="38">
        <f>M3*B12/100</f>
        <v>222.24</v>
      </c>
      <c r="O3" s="36">
        <f t="shared" si="4"/>
        <v>777.84</v>
      </c>
      <c r="P3" s="38">
        <v>600</v>
      </c>
    </row>
    <row r="4" spans="1:16" ht="105" x14ac:dyDescent="0.25">
      <c r="A4" s="35" t="s">
        <v>104</v>
      </c>
      <c r="B4" s="35" t="s">
        <v>137</v>
      </c>
      <c r="C4" s="35" t="s">
        <v>92</v>
      </c>
      <c r="D4" s="47" t="s">
        <v>140</v>
      </c>
      <c r="E4" s="18">
        <v>2</v>
      </c>
      <c r="F4" s="18">
        <v>2</v>
      </c>
      <c r="G4" s="18">
        <v>2</v>
      </c>
      <c r="H4" s="18">
        <v>2</v>
      </c>
      <c r="I4" s="36">
        <f t="shared" si="0"/>
        <v>8</v>
      </c>
      <c r="J4" s="37">
        <f t="shared" si="1"/>
        <v>16</v>
      </c>
      <c r="K4" s="37">
        <f t="shared" si="2"/>
        <v>8</v>
      </c>
      <c r="L4" s="38">
        <f>Variables!C$14</f>
        <v>55.56</v>
      </c>
      <c r="M4" s="38">
        <f t="shared" si="3"/>
        <v>888.96</v>
      </c>
      <c r="N4" s="38">
        <f>M4*B12/100</f>
        <v>355.584</v>
      </c>
      <c r="O4" s="36">
        <f t="shared" si="4"/>
        <v>1244.5440000000001</v>
      </c>
      <c r="P4" s="38">
        <v>600</v>
      </c>
    </row>
    <row r="5" spans="1:16" ht="105" x14ac:dyDescent="0.25">
      <c r="A5" s="35" t="s">
        <v>104</v>
      </c>
      <c r="B5" s="35" t="s">
        <v>137</v>
      </c>
      <c r="C5" s="35" t="s">
        <v>91</v>
      </c>
      <c r="D5" s="39" t="s">
        <v>141</v>
      </c>
      <c r="E5" s="18">
        <v>1.25</v>
      </c>
      <c r="F5" s="18">
        <v>1.25</v>
      </c>
      <c r="G5" s="18">
        <v>1.25</v>
      </c>
      <c r="H5" s="18">
        <v>1.25</v>
      </c>
      <c r="I5" s="36">
        <f t="shared" si="0"/>
        <v>5</v>
      </c>
      <c r="J5" s="37">
        <f t="shared" si="1"/>
        <v>10</v>
      </c>
      <c r="K5" s="37">
        <f t="shared" si="2"/>
        <v>5</v>
      </c>
      <c r="L5" s="38">
        <f>Variables!C$14</f>
        <v>55.56</v>
      </c>
      <c r="M5" s="38">
        <f t="shared" si="3"/>
        <v>555.6</v>
      </c>
      <c r="N5" s="38">
        <f>M5*B12/100</f>
        <v>222.24</v>
      </c>
      <c r="O5" s="36">
        <f t="shared" si="4"/>
        <v>777.84</v>
      </c>
      <c r="P5" s="38">
        <v>900</v>
      </c>
    </row>
    <row r="6" spans="1:16" ht="105" x14ac:dyDescent="0.25">
      <c r="A6" s="35" t="s">
        <v>104</v>
      </c>
      <c r="B6" s="35" t="s">
        <v>137</v>
      </c>
      <c r="C6" s="35" t="s">
        <v>90</v>
      </c>
      <c r="D6" s="47" t="s">
        <v>142</v>
      </c>
      <c r="E6" s="18">
        <v>0.75</v>
      </c>
      <c r="F6" s="18">
        <v>0.75</v>
      </c>
      <c r="G6" s="18">
        <v>0.75</v>
      </c>
      <c r="H6" s="18">
        <v>0.75</v>
      </c>
      <c r="I6" s="36">
        <f t="shared" si="0"/>
        <v>3</v>
      </c>
      <c r="J6" s="37">
        <f t="shared" si="1"/>
        <v>6</v>
      </c>
      <c r="K6" s="37">
        <f t="shared" si="2"/>
        <v>3</v>
      </c>
      <c r="L6" s="38">
        <f>Variables!C$14</f>
        <v>55.56</v>
      </c>
      <c r="M6" s="38">
        <f t="shared" si="3"/>
        <v>333.36</v>
      </c>
      <c r="N6" s="38">
        <f>M6*B12/100</f>
        <v>133.34400000000002</v>
      </c>
      <c r="O6" s="36">
        <f t="shared" si="4"/>
        <v>466.70400000000006</v>
      </c>
      <c r="P6" s="38">
        <v>1200</v>
      </c>
    </row>
    <row r="7" spans="1:16" ht="105" x14ac:dyDescent="0.25">
      <c r="A7" s="35" t="s">
        <v>104</v>
      </c>
      <c r="B7" s="35" t="s">
        <v>137</v>
      </c>
      <c r="C7" s="35" t="s">
        <v>91</v>
      </c>
      <c r="D7" s="39" t="s">
        <v>143</v>
      </c>
      <c r="E7" s="18">
        <v>1.25</v>
      </c>
      <c r="F7" s="18">
        <v>1.25</v>
      </c>
      <c r="G7" s="18">
        <v>1.25</v>
      </c>
      <c r="H7" s="18">
        <v>1.25</v>
      </c>
      <c r="I7" s="36">
        <f t="shared" si="0"/>
        <v>5</v>
      </c>
      <c r="J7" s="37">
        <f t="shared" si="1"/>
        <v>10</v>
      </c>
      <c r="K7" s="37">
        <f t="shared" si="2"/>
        <v>5</v>
      </c>
      <c r="L7" s="38">
        <f>Variables!C$14</f>
        <v>55.56</v>
      </c>
      <c r="M7" s="38">
        <f t="shared" si="3"/>
        <v>555.6</v>
      </c>
      <c r="N7" s="38">
        <f>M7*B12/100</f>
        <v>222.24</v>
      </c>
      <c r="O7" s="36">
        <f t="shared" si="4"/>
        <v>777.84</v>
      </c>
      <c r="P7" s="38">
        <v>1500</v>
      </c>
    </row>
    <row r="8" spans="1:16" ht="105" x14ac:dyDescent="0.25">
      <c r="A8" s="35" t="s">
        <v>104</v>
      </c>
      <c r="B8" s="35" t="s">
        <v>137</v>
      </c>
      <c r="C8" s="35" t="s">
        <v>92</v>
      </c>
      <c r="D8" s="39" t="s">
        <v>144</v>
      </c>
      <c r="E8" s="18">
        <v>2</v>
      </c>
      <c r="F8" s="18">
        <v>2</v>
      </c>
      <c r="G8" s="18">
        <v>2</v>
      </c>
      <c r="H8" s="18">
        <v>2</v>
      </c>
      <c r="I8" s="36">
        <f t="shared" si="0"/>
        <v>8</v>
      </c>
      <c r="J8" s="37">
        <f t="shared" si="1"/>
        <v>16</v>
      </c>
      <c r="K8" s="37">
        <f t="shared" si="2"/>
        <v>8</v>
      </c>
      <c r="L8" s="38">
        <f>Variables!C$14</f>
        <v>55.56</v>
      </c>
      <c r="M8" s="38">
        <f t="shared" si="3"/>
        <v>888.96</v>
      </c>
      <c r="N8" s="38">
        <f>M8*B12/100</f>
        <v>355.584</v>
      </c>
      <c r="O8" s="36">
        <f t="shared" si="4"/>
        <v>1244.5440000000001</v>
      </c>
      <c r="P8" s="38">
        <v>800</v>
      </c>
    </row>
    <row r="9" spans="1:16" ht="105" x14ac:dyDescent="0.25">
      <c r="A9" s="35" t="s">
        <v>104</v>
      </c>
      <c r="B9" s="35" t="s">
        <v>137</v>
      </c>
      <c r="C9" s="35" t="s">
        <v>90</v>
      </c>
      <c r="D9" s="39" t="s">
        <v>145</v>
      </c>
      <c r="E9" s="18">
        <v>0.75</v>
      </c>
      <c r="F9" s="18">
        <v>0.75</v>
      </c>
      <c r="G9" s="18">
        <v>0.75</v>
      </c>
      <c r="H9" s="18">
        <v>0.75</v>
      </c>
      <c r="I9" s="36">
        <f t="shared" si="0"/>
        <v>3</v>
      </c>
      <c r="J9" s="37">
        <f t="shared" si="1"/>
        <v>6</v>
      </c>
      <c r="K9" s="37">
        <f t="shared" si="2"/>
        <v>3</v>
      </c>
      <c r="L9" s="38">
        <f>Variables!C$14</f>
        <v>55.56</v>
      </c>
      <c r="M9" s="38">
        <f t="shared" si="3"/>
        <v>333.36</v>
      </c>
      <c r="N9" s="38">
        <f>M9*B12/100</f>
        <v>133.34400000000002</v>
      </c>
      <c r="O9" s="36">
        <f t="shared" si="4"/>
        <v>466.70400000000006</v>
      </c>
      <c r="P9" s="38">
        <v>1600</v>
      </c>
    </row>
    <row r="10" spans="1:16" ht="105" x14ac:dyDescent="0.25">
      <c r="A10" s="35" t="s">
        <v>104</v>
      </c>
      <c r="B10" s="35" t="s">
        <v>137</v>
      </c>
      <c r="C10" s="35" t="s">
        <v>91</v>
      </c>
      <c r="D10" s="39" t="s">
        <v>146</v>
      </c>
      <c r="E10" s="18">
        <v>1.25</v>
      </c>
      <c r="F10" s="18">
        <v>1.25</v>
      </c>
      <c r="G10" s="18">
        <v>1.25</v>
      </c>
      <c r="H10" s="18">
        <v>1.25</v>
      </c>
      <c r="I10" s="36">
        <f t="shared" si="0"/>
        <v>5</v>
      </c>
      <c r="J10" s="37">
        <f t="shared" si="1"/>
        <v>10</v>
      </c>
      <c r="K10" s="37">
        <f t="shared" si="2"/>
        <v>5</v>
      </c>
      <c r="L10" s="38">
        <f>Variables!C$14</f>
        <v>55.56</v>
      </c>
      <c r="M10" s="38">
        <f t="shared" si="3"/>
        <v>555.6</v>
      </c>
      <c r="N10" s="38">
        <f>M10*B12/100</f>
        <v>222.24</v>
      </c>
      <c r="O10" s="36">
        <f t="shared" si="4"/>
        <v>777.84</v>
      </c>
      <c r="P10" s="38">
        <v>2400</v>
      </c>
    </row>
    <row r="11" spans="1:16" ht="105" x14ac:dyDescent="0.25">
      <c r="A11" s="35" t="s">
        <v>104</v>
      </c>
      <c r="B11" s="35" t="s">
        <v>137</v>
      </c>
      <c r="C11" s="35" t="s">
        <v>92</v>
      </c>
      <c r="D11" s="39" t="s">
        <v>147</v>
      </c>
      <c r="E11" s="18">
        <v>2</v>
      </c>
      <c r="F11" s="18">
        <v>2</v>
      </c>
      <c r="G11" s="18">
        <v>2</v>
      </c>
      <c r="H11" s="18">
        <v>2</v>
      </c>
      <c r="I11" s="36">
        <f t="shared" si="0"/>
        <v>8</v>
      </c>
      <c r="J11" s="37">
        <f t="shared" si="1"/>
        <v>16</v>
      </c>
      <c r="K11" s="37">
        <f t="shared" si="2"/>
        <v>8</v>
      </c>
      <c r="L11" s="38">
        <f>Variables!C$14</f>
        <v>55.56</v>
      </c>
      <c r="M11" s="38">
        <f t="shared" si="3"/>
        <v>888.96</v>
      </c>
      <c r="N11" s="38">
        <f>M11*B12/100</f>
        <v>355.584</v>
      </c>
      <c r="O11" s="36">
        <f t="shared" si="4"/>
        <v>1244.5440000000001</v>
      </c>
      <c r="P11" s="38">
        <v>3200</v>
      </c>
    </row>
    <row r="12" spans="1:16" x14ac:dyDescent="0.25">
      <c r="A12" s="35" t="s">
        <v>95</v>
      </c>
      <c r="B12" s="18">
        <v>40</v>
      </c>
      <c r="O12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B81-DD98-4CB2-849B-25315D46B509}">
  <sheetPr>
    <tabColor rgb="FFFFFF00"/>
  </sheetPr>
  <dimension ref="A1:O8"/>
  <sheetViews>
    <sheetView workbookViewId="0">
      <pane xSplit="4" ySplit="2" topLeftCell="E6" activePane="bottomRight" state="frozen"/>
      <selection pane="topRight" activeCell="E1" sqref="E1"/>
      <selection pane="bottomLeft" activeCell="A3" sqref="A3"/>
      <selection pane="bottomRight" activeCell="F6" sqref="F6"/>
    </sheetView>
  </sheetViews>
  <sheetFormatPr defaultColWidth="9.28515625" defaultRowHeight="15" x14ac:dyDescent="0.25"/>
  <cols>
    <col min="1" max="1" width="11.7109375" style="1" customWidth="1"/>
    <col min="2" max="2" width="9.28515625" style="1" bestFit="1" customWidth="1"/>
    <col min="3" max="3" width="9.28515625" style="1"/>
    <col min="4" max="4" width="44.7109375" style="1" customWidth="1"/>
    <col min="5" max="5" width="17" style="1" customWidth="1"/>
    <col min="6" max="6" width="12.28515625" style="1" customWidth="1"/>
    <col min="7" max="7" width="14" style="1" customWidth="1"/>
    <col min="8" max="8" width="13.5703125" style="1" customWidth="1"/>
    <col min="9" max="12" width="9.28515625" style="1" customWidth="1"/>
    <col min="13" max="14" width="10.7109375" style="1" customWidth="1"/>
    <col min="15" max="15" width="9.28515625" style="1" bestFit="1" customWidth="1"/>
    <col min="16" max="16384" width="9.28515625" style="1"/>
  </cols>
  <sheetData>
    <row r="1" spans="1:15" ht="90" x14ac:dyDescent="0.25">
      <c r="A1" s="28" t="s">
        <v>78</v>
      </c>
      <c r="B1" s="27" t="s">
        <v>79</v>
      </c>
      <c r="C1" s="28" t="s">
        <v>80</v>
      </c>
      <c r="D1" s="29" t="s">
        <v>81</v>
      </c>
      <c r="E1" s="30" t="s">
        <v>96</v>
      </c>
      <c r="F1" s="30" t="s">
        <v>148</v>
      </c>
      <c r="G1" s="30" t="s">
        <v>118</v>
      </c>
      <c r="H1" s="30" t="s">
        <v>102</v>
      </c>
      <c r="I1" s="31" t="s">
        <v>82</v>
      </c>
      <c r="J1" s="32" t="s">
        <v>83</v>
      </c>
      <c r="K1" s="32" t="s">
        <v>38</v>
      </c>
      <c r="L1" s="33" t="s">
        <v>84</v>
      </c>
      <c r="M1" s="33" t="s">
        <v>85</v>
      </c>
      <c r="N1" s="33" t="s">
        <v>86</v>
      </c>
      <c r="O1" s="34" t="s">
        <v>87</v>
      </c>
    </row>
    <row r="2" spans="1:15" x14ac:dyDescent="0.25">
      <c r="A2" s="35" t="s">
        <v>104</v>
      </c>
      <c r="B2" s="35" t="s">
        <v>149</v>
      </c>
      <c r="C2" s="35" t="s">
        <v>88</v>
      </c>
      <c r="D2" s="39" t="s">
        <v>89</v>
      </c>
      <c r="E2" s="26">
        <v>1</v>
      </c>
      <c r="F2" s="26">
        <v>0</v>
      </c>
      <c r="G2" s="26">
        <v>0</v>
      </c>
      <c r="H2" s="26">
        <v>1</v>
      </c>
      <c r="I2" s="36">
        <f t="shared" ref="I2:I7" si="0">SUM(E2:H2)</f>
        <v>2</v>
      </c>
      <c r="J2" s="37">
        <f>I2*2</f>
        <v>4</v>
      </c>
      <c r="K2" s="37">
        <f t="shared" ref="K2:K7" si="1">J2/2</f>
        <v>2</v>
      </c>
      <c r="L2" s="38">
        <v>144</v>
      </c>
      <c r="M2" s="38">
        <f>I2*L2</f>
        <v>288</v>
      </c>
      <c r="N2" s="38">
        <f>M2*B8/100</f>
        <v>115.2</v>
      </c>
      <c r="O2" s="36">
        <f t="shared" ref="O2:O7" si="2">M2+N2</f>
        <v>403.2</v>
      </c>
    </row>
    <row r="3" spans="1:15" ht="135" x14ac:dyDescent="0.25">
      <c r="A3" s="35" t="s">
        <v>104</v>
      </c>
      <c r="B3" s="35" t="s">
        <v>149</v>
      </c>
      <c r="C3" s="35" t="s">
        <v>90</v>
      </c>
      <c r="D3" s="46" t="s">
        <v>150</v>
      </c>
      <c r="E3" s="18">
        <v>1</v>
      </c>
      <c r="F3" s="18">
        <v>1</v>
      </c>
      <c r="G3" s="18">
        <v>1</v>
      </c>
      <c r="H3" s="18">
        <v>1</v>
      </c>
      <c r="I3" s="36">
        <f t="shared" si="0"/>
        <v>4</v>
      </c>
      <c r="J3" s="37">
        <f t="shared" ref="J3:J7" si="3">I3*2</f>
        <v>8</v>
      </c>
      <c r="K3" s="37">
        <f t="shared" si="1"/>
        <v>4</v>
      </c>
      <c r="L3" s="38">
        <v>55.56</v>
      </c>
      <c r="M3" s="38">
        <f t="shared" ref="M3:M7" si="4">J3*L3</f>
        <v>444.48</v>
      </c>
      <c r="N3" s="38">
        <f>M3*B8/100</f>
        <v>177.792</v>
      </c>
      <c r="O3" s="36">
        <f t="shared" si="2"/>
        <v>622.27200000000005</v>
      </c>
    </row>
    <row r="4" spans="1:15" ht="120" x14ac:dyDescent="0.25">
      <c r="A4" s="35" t="s">
        <v>104</v>
      </c>
      <c r="B4" s="35" t="s">
        <v>149</v>
      </c>
      <c r="C4" s="35" t="s">
        <v>91</v>
      </c>
      <c r="D4" s="39" t="s">
        <v>151</v>
      </c>
      <c r="E4" s="18">
        <v>2</v>
      </c>
      <c r="F4" s="18">
        <v>2</v>
      </c>
      <c r="G4" s="18">
        <v>2</v>
      </c>
      <c r="H4" s="18">
        <v>2</v>
      </c>
      <c r="I4" s="36">
        <f t="shared" si="0"/>
        <v>8</v>
      </c>
      <c r="J4" s="37">
        <f t="shared" si="3"/>
        <v>16</v>
      </c>
      <c r="K4" s="37">
        <f t="shared" si="1"/>
        <v>8</v>
      </c>
      <c r="L4" s="38">
        <v>55.56</v>
      </c>
      <c r="M4" s="38">
        <f t="shared" si="4"/>
        <v>888.96</v>
      </c>
      <c r="N4" s="38">
        <f>M4*B8/100</f>
        <v>355.584</v>
      </c>
      <c r="O4" s="36">
        <f t="shared" si="2"/>
        <v>1244.5440000000001</v>
      </c>
    </row>
    <row r="5" spans="1:15" ht="120" x14ac:dyDescent="0.25">
      <c r="A5" s="35" t="s">
        <v>104</v>
      </c>
      <c r="B5" s="35" t="s">
        <v>149</v>
      </c>
      <c r="C5" s="35" t="s">
        <v>92</v>
      </c>
      <c r="D5" s="39" t="s">
        <v>152</v>
      </c>
      <c r="E5" s="18">
        <v>4</v>
      </c>
      <c r="F5" s="18">
        <v>4</v>
      </c>
      <c r="G5" s="18">
        <v>4</v>
      </c>
      <c r="H5" s="18">
        <v>4</v>
      </c>
      <c r="I5" s="36">
        <f t="shared" si="0"/>
        <v>16</v>
      </c>
      <c r="J5" s="37">
        <f t="shared" si="3"/>
        <v>32</v>
      </c>
      <c r="K5" s="37">
        <f t="shared" si="1"/>
        <v>16</v>
      </c>
      <c r="L5" s="38">
        <v>55.56</v>
      </c>
      <c r="M5" s="38">
        <f t="shared" si="4"/>
        <v>1777.92</v>
      </c>
      <c r="N5" s="38">
        <f>M5*B8/100</f>
        <v>711.16800000000001</v>
      </c>
      <c r="O5" s="36">
        <f t="shared" si="2"/>
        <v>2489.0880000000002</v>
      </c>
    </row>
    <row r="6" spans="1:15" ht="120" x14ac:dyDescent="0.25">
      <c r="A6" s="35" t="s">
        <v>104</v>
      </c>
      <c r="B6" s="35" t="s">
        <v>149</v>
      </c>
      <c r="C6" s="35" t="s">
        <v>93</v>
      </c>
      <c r="D6" s="39" t="s">
        <v>153</v>
      </c>
      <c r="E6" s="18">
        <v>6</v>
      </c>
      <c r="F6" s="18">
        <v>6</v>
      </c>
      <c r="G6" s="18">
        <v>6</v>
      </c>
      <c r="H6" s="18">
        <v>6</v>
      </c>
      <c r="I6" s="36">
        <f t="shared" si="0"/>
        <v>24</v>
      </c>
      <c r="J6" s="37">
        <f t="shared" si="3"/>
        <v>48</v>
      </c>
      <c r="K6" s="37">
        <f t="shared" si="1"/>
        <v>24</v>
      </c>
      <c r="L6" s="38">
        <v>55.56</v>
      </c>
      <c r="M6" s="38">
        <f t="shared" si="4"/>
        <v>2666.88</v>
      </c>
      <c r="N6" s="38">
        <f>M6*B8/100</f>
        <v>1066.7520000000002</v>
      </c>
      <c r="O6" s="36">
        <f t="shared" si="2"/>
        <v>3733.6320000000005</v>
      </c>
    </row>
    <row r="7" spans="1:15" ht="120" x14ac:dyDescent="0.25">
      <c r="A7" s="35" t="s">
        <v>104</v>
      </c>
      <c r="B7" s="35" t="s">
        <v>149</v>
      </c>
      <c r="C7" s="35" t="s">
        <v>94</v>
      </c>
      <c r="D7" s="39" t="s">
        <v>154</v>
      </c>
      <c r="E7" s="18">
        <v>8</v>
      </c>
      <c r="F7" s="18">
        <v>8</v>
      </c>
      <c r="G7" s="18">
        <v>8</v>
      </c>
      <c r="H7" s="18">
        <v>8</v>
      </c>
      <c r="I7" s="36">
        <f t="shared" si="0"/>
        <v>32</v>
      </c>
      <c r="J7" s="37">
        <f t="shared" si="3"/>
        <v>64</v>
      </c>
      <c r="K7" s="37">
        <f t="shared" si="1"/>
        <v>32</v>
      </c>
      <c r="L7" s="38">
        <v>55.56</v>
      </c>
      <c r="M7" s="38">
        <f t="shared" si="4"/>
        <v>3555.84</v>
      </c>
      <c r="N7" s="38">
        <f>M7*B8/100</f>
        <v>1422.336</v>
      </c>
      <c r="O7" s="36">
        <f t="shared" si="2"/>
        <v>4978.1760000000004</v>
      </c>
    </row>
    <row r="8" spans="1:15" x14ac:dyDescent="0.25">
      <c r="A8" s="35" t="s">
        <v>95</v>
      </c>
      <c r="B8" s="18">
        <v>40</v>
      </c>
      <c r="O8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62FD472AED44189AD01CBA9196C65" ma:contentTypeVersion="6" ma:contentTypeDescription="Create a new document." ma:contentTypeScope="" ma:versionID="4fadc227820a0cb132c4c39159587355">
  <xsd:schema xmlns:xsd="http://www.w3.org/2001/XMLSchema" xmlns:xs="http://www.w3.org/2001/XMLSchema" xmlns:p="http://schemas.microsoft.com/office/2006/metadata/properties" xmlns:ns2="062ce330-4151-4ce8-82e9-ac43911304cb" xmlns:ns3="fb3b65b3-55ef-423d-821a-ea476b22ce64" targetNamespace="http://schemas.microsoft.com/office/2006/metadata/properties" ma:root="true" ma:fieldsID="470c3854cb0b0f55ae5fe7779cb58a49" ns2:_="" ns3:_="">
    <xsd:import namespace="062ce330-4151-4ce8-82e9-ac43911304cb"/>
    <xsd:import namespace="fb3b65b3-55ef-423d-821a-ea476b22c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ce330-4151-4ce8-82e9-ac4391130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b65b3-55ef-423d-821a-ea476b22c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3b65b3-55ef-423d-821a-ea476b22ce64">
      <UserInfo>
        <DisplayName>Raviraj,S,Sujan,QQJE C</DisplayName>
        <AccountId>21</AccountId>
        <AccountType/>
      </UserInfo>
      <UserInfo>
        <DisplayName>Mahale,V,Vidya,QQJE C</DisplayName>
        <AccountId>26</AccountId>
        <AccountType/>
      </UserInfo>
      <UserInfo>
        <DisplayName>Ashker,F,Fasin,QQJE C</DisplayName>
        <AccountId>25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BADF85-562A-42FB-A3B6-8014C9EA7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2ce330-4151-4ce8-82e9-ac43911304cb"/>
    <ds:schemaRef ds:uri="fb3b65b3-55ef-423d-821a-ea476b22c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4A142-01B2-4CB9-B261-144C7E9310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079F0-BE4A-4591-8997-A833C63A7C98}">
  <ds:schemaRefs>
    <ds:schemaRef ds:uri="http://schemas.microsoft.com/office/2006/metadata/properties"/>
    <ds:schemaRef ds:uri="http://schemas.microsoft.com/office/infopath/2007/PartnerControls"/>
    <ds:schemaRef ds:uri="fb3b65b3-55ef-423d-821a-ea476b22ce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Version</vt:lpstr>
      <vt:lpstr>Variables</vt:lpstr>
      <vt:lpstr>MQ</vt:lpstr>
      <vt:lpstr>Weblogic</vt:lpstr>
      <vt:lpstr>CFT</vt:lpstr>
      <vt:lpstr>WildFly</vt:lpstr>
    </vt:vector>
  </TitlesOfParts>
  <Manager/>
  <Company>BT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Richards,BRA,Brian,TAB R;tim.daubney@ee.co.uk</dc:creator>
  <cp:keywords/>
  <dc:description/>
  <cp:lastModifiedBy>Isaac Gera (QVB C)</cp:lastModifiedBy>
  <cp:revision/>
  <dcterms:created xsi:type="dcterms:W3CDTF">2017-10-20T10:16:01Z</dcterms:created>
  <dcterms:modified xsi:type="dcterms:W3CDTF">2026-10-19T09:56:55Z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0x010100F9B62FD472AED44189AD01CBA9196C65</vt:lpwstr>
  </property>
  <property fmtid="{D5CDD505-2E9C-101B-9397-08002B2CF9AE}" pid="3" name="IsMyDocuments">
    <vt:bool>true</vt:bool>
  </property>
  <property fmtid="{D5CDD505-2E9C-101B-9397-08002B2CF9AE}" pid="4" name="MSIP_Label_55818d02-8d25-4bb9-b27c-e4db64670887_Enabled">
    <vt:lpwstr>true</vt:lpwstr>
  </property>
  <property fmtid="{D5CDD505-2E9C-101B-9397-08002B2CF9AE}" pid="5" name="MSIP_Label_55818d02-8d25-4bb9-b27c-e4db64670887_SetDate">
    <vt:lpwstr>2021-03-03T14:56:50Z</vt:lpwstr>
  </property>
  <property fmtid="{D5CDD505-2E9C-101B-9397-08002B2CF9AE}" pid="6" name="MSIP_Label_55818d02-8d25-4bb9-b27c-e4db64670887_Method">
    <vt:lpwstr>Standard</vt:lpwstr>
  </property>
  <property fmtid="{D5CDD505-2E9C-101B-9397-08002B2CF9AE}" pid="7" name="MSIP_Label_55818d02-8d25-4bb9-b27c-e4db64670887_Name">
    <vt:lpwstr>55818d02-8d25-4bb9-b27c-e4db64670887</vt:lpwstr>
  </property>
  <property fmtid="{D5CDD505-2E9C-101B-9397-08002B2CF9AE}" pid="8" name="MSIP_Label_55818d02-8d25-4bb9-b27c-e4db64670887_SiteId">
    <vt:lpwstr>a7f35688-9c00-4d5e-ba41-29f146377ab0</vt:lpwstr>
  </property>
  <property fmtid="{D5CDD505-2E9C-101B-9397-08002B2CF9AE}" pid="9" name="MSIP_Label_55818d02-8d25-4bb9-b27c-e4db64670887_ActionId">
    <vt:lpwstr>18e8b2c9-4500-46c9-9691-253c6eb00754</vt:lpwstr>
  </property>
  <property fmtid="{D5CDD505-2E9C-101B-9397-08002B2CF9AE}" pid="10" name="MSIP_Label_55818d02-8d25-4bb9-b27c-e4db64670887_ContentBits">
    <vt:lpwstr>0</vt:lpwstr>
  </property>
</Properties>
</file>